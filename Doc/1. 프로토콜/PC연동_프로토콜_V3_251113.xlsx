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\Water\2025\WORKS\2025_Tech_PC_Program\Doc\1. 프로토콜\"/>
    </mc:Choice>
  </mc:AlternateContent>
  <xr:revisionPtr revIDLastSave="0" documentId="13_ncr:1_{85CE8104-A52F-4CFB-92A9-4F7DE491BB6C}" xr6:coauthVersionLast="47" xr6:coauthVersionMax="47" xr10:uidLastSave="{00000000-0000-0000-0000-000000000000}"/>
  <bookViews>
    <workbookView xWindow="14303" yWindow="-52" windowWidth="21795" windowHeight="13694" xr2:uid="{E8FC57F0-0C50-400C-865C-77A5DB099951}"/>
  </bookViews>
  <sheets>
    <sheet name="냉동검토용 프로토콜" sheetId="1" r:id="rId1"/>
    <sheet name="냉동검토용 프로토콜 Revision" sheetId="2" r:id="rId2"/>
    <sheet name="CMD 0xF0 (공통상태조회)" sheetId="3" r:id="rId3"/>
    <sheet name="CMD 0xF1 (냉동상태조회) " sheetId="4" r:id="rId4"/>
    <sheet name="CMD 0xF2 (순간온수상태조회)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6" i="4" l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43" i="3"/>
  <c r="B42" i="3"/>
  <c r="B5" i="4"/>
  <c r="B5" i="3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</calcChain>
</file>

<file path=xl/sharedStrings.xml><?xml version="1.0" encoding="utf-8"?>
<sst xmlns="http://schemas.openxmlformats.org/spreadsheetml/2006/main" count="322" uniqueCount="164">
  <si>
    <t>STX</t>
    <phoneticPr fontId="1" type="noConversion"/>
  </si>
  <si>
    <t>ID</t>
    <phoneticPr fontId="1" type="noConversion"/>
  </si>
  <si>
    <t>CMD</t>
    <phoneticPr fontId="1" type="noConversion"/>
  </si>
  <si>
    <t>….</t>
    <phoneticPr fontId="1" type="noConversion"/>
  </si>
  <si>
    <t>ETX</t>
    <phoneticPr fontId="1" type="noConversion"/>
  </si>
  <si>
    <t>0xB1</t>
    <phoneticPr fontId="1" type="noConversion"/>
  </si>
  <si>
    <t>0xB2</t>
    <phoneticPr fontId="1" type="noConversion"/>
  </si>
  <si>
    <t>DATA1</t>
    <phoneticPr fontId="1" type="noConversion"/>
  </si>
  <si>
    <t>DATA2</t>
    <phoneticPr fontId="1" type="noConversion"/>
  </si>
  <si>
    <t>냉각 ON 온도</t>
    <phoneticPr fontId="1" type="noConversion"/>
  </si>
  <si>
    <t>냉각 OFF 온도</t>
    <phoneticPr fontId="1" type="noConversion"/>
  </si>
  <si>
    <t>DATA3</t>
    <phoneticPr fontId="1" type="noConversion"/>
  </si>
  <si>
    <t>DATA4</t>
    <phoneticPr fontId="1" type="noConversion"/>
  </si>
  <si>
    <t>테이블 데이터 1</t>
    <phoneticPr fontId="1" type="noConversion"/>
  </si>
  <si>
    <t>DATA7</t>
    <phoneticPr fontId="1" type="noConversion"/>
  </si>
  <si>
    <t>제빙 동작</t>
    <phoneticPr fontId="1" type="noConversion"/>
  </si>
  <si>
    <t>스윙바 ON 시간</t>
    <phoneticPr fontId="1" type="noConversion"/>
  </si>
  <si>
    <t>스윙바 OFF 시간</t>
    <phoneticPr fontId="1" type="noConversion"/>
  </si>
  <si>
    <t>DATA5</t>
    <phoneticPr fontId="1" type="noConversion"/>
  </si>
  <si>
    <t>테이블 데이터 46</t>
    <phoneticPr fontId="1" type="noConversion"/>
  </si>
  <si>
    <t>0xB3</t>
    <phoneticPr fontId="1" type="noConversion"/>
  </si>
  <si>
    <t>DATA6</t>
    <phoneticPr fontId="1" type="noConversion"/>
  </si>
  <si>
    <t>입수용량 (Hz) 하위 1BYTE</t>
    <phoneticPr fontId="1" type="noConversion"/>
  </si>
  <si>
    <t>입수용량 (Hz) 상위 1BYTE</t>
    <phoneticPr fontId="1" type="noConversion"/>
  </si>
  <si>
    <t>0xB4</t>
    <phoneticPr fontId="1" type="noConversion"/>
  </si>
  <si>
    <t>TARGET TEMP</t>
    <phoneticPr fontId="1" type="noConversion"/>
  </si>
  <si>
    <t>TARGET TEMP (FIRST)</t>
    <phoneticPr fontId="1" type="noConversion"/>
  </si>
  <si>
    <t>TRAY POSITION</t>
    <phoneticPr fontId="1" type="noConversion"/>
  </si>
  <si>
    <t>제빙시간(ms) 상위 1B</t>
    <phoneticPr fontId="1" type="noConversion"/>
  </si>
  <si>
    <t>제빙시간(ms) 하위 1B</t>
    <phoneticPr fontId="1" type="noConversion"/>
  </si>
  <si>
    <t>입수온도값</t>
  </si>
  <si>
    <t>테이블 데이터 2</t>
    <phoneticPr fontId="1" type="noConversion"/>
  </si>
  <si>
    <t>테이블 데이터 3</t>
    <phoneticPr fontId="1" type="noConversion"/>
  </si>
  <si>
    <t>테이블 데이터 4</t>
    <phoneticPr fontId="1" type="noConversion"/>
  </si>
  <si>
    <t>-</t>
    <phoneticPr fontId="1" type="noConversion"/>
  </si>
  <si>
    <t>테이블 데이터 5</t>
    <phoneticPr fontId="1" type="noConversion"/>
  </si>
  <si>
    <t>DATA8</t>
    <phoneticPr fontId="1" type="noConversion"/>
  </si>
  <si>
    <t>DATAn</t>
    <phoneticPr fontId="1" type="noConversion"/>
  </si>
  <si>
    <t>LETNGH</t>
    <phoneticPr fontId="1" type="noConversion"/>
  </si>
  <si>
    <t>Labels</t>
    <phoneticPr fontId="1" type="noConversion"/>
  </si>
  <si>
    <t>POLLING</t>
    <phoneticPr fontId="1" type="noConversion"/>
  </si>
  <si>
    <t>상태조회 (PC → 메인)</t>
    <phoneticPr fontId="1" type="noConversion"/>
  </si>
  <si>
    <t>2. CMD의 구성</t>
    <phoneticPr fontId="1" type="noConversion"/>
  </si>
  <si>
    <t>※ PC는 MAIN으로 100ms마다 Polling하면서 제품의 상태를 표시한다</t>
    <phoneticPr fontId="1" type="noConversion"/>
  </si>
  <si>
    <t>※ PC는 MAIN으로 데이터를 변경요청 이벤트가 있을 때 1회 보낸다</t>
    <phoneticPr fontId="1" type="noConversion"/>
  </si>
  <si>
    <t>냉각운전 변경 (PC ↔ 메인)</t>
  </si>
  <si>
    <t>제빙운전 변경 (PC ↔ 메인)</t>
  </si>
  <si>
    <t>보냉운전 변경 (PC ↔ 메인)</t>
  </si>
  <si>
    <t>제빙테이블 적용 (PC ↔ 메인)</t>
  </si>
  <si>
    <t>테이블 데이터 6</t>
    <phoneticPr fontId="1" type="noConversion"/>
  </si>
  <si>
    <t>제빙 STEP</t>
    <phoneticPr fontId="1" type="noConversion"/>
  </si>
  <si>
    <t>입수온도</t>
    <phoneticPr fontId="1" type="noConversion"/>
  </si>
  <si>
    <t>1. 패킷의 기본구조</t>
    <phoneticPr fontId="1" type="noConversion"/>
  </si>
  <si>
    <t>DATA FIELD LENGTH</t>
    <phoneticPr fontId="1" type="noConversion"/>
  </si>
  <si>
    <t>DATAFIELD….</t>
    <phoneticPr fontId="1" type="noConversion"/>
  </si>
  <si>
    <t>CRC16 H</t>
    <phoneticPr fontId="1" type="noConversion"/>
  </si>
  <si>
    <t>CRC16 L</t>
    <phoneticPr fontId="1" type="noConversion"/>
  </si>
  <si>
    <t>N+5</t>
    <phoneticPr fontId="1" type="noConversion"/>
  </si>
  <si>
    <t>N+6</t>
    <phoneticPr fontId="1" type="noConversion"/>
  </si>
  <si>
    <t>N+7</t>
    <phoneticPr fontId="1" type="noConversion"/>
  </si>
  <si>
    <t>0x0F</t>
    <phoneticPr fontId="1" type="noConversion"/>
  </si>
  <si>
    <t>DATAFIELD</t>
    <phoneticPr fontId="1" type="noConversion"/>
  </si>
  <si>
    <t>정수온도</t>
    <phoneticPr fontId="1" type="noConversion"/>
  </si>
  <si>
    <t>외기온도 2</t>
    <phoneticPr fontId="1" type="noConversion"/>
  </si>
  <si>
    <t>외기온도 1</t>
    <phoneticPr fontId="1" type="noConversion"/>
  </si>
  <si>
    <t>냉수온도</t>
    <phoneticPr fontId="1" type="noConversion"/>
  </si>
  <si>
    <t>히터 내부온도</t>
    <phoneticPr fontId="1" type="noConversion"/>
  </si>
  <si>
    <t>온수 출수온도</t>
    <phoneticPr fontId="1" type="noConversion"/>
  </si>
  <si>
    <t>Reserved</t>
    <phoneticPr fontId="1" type="noConversion"/>
  </si>
  <si>
    <t>분류</t>
    <phoneticPr fontId="1" type="noConversion"/>
  </si>
  <si>
    <t>센서류</t>
    <phoneticPr fontId="1" type="noConversion"/>
  </si>
  <si>
    <t>냉각 데이터</t>
    <phoneticPr fontId="1" type="noConversion"/>
  </si>
  <si>
    <t>운전상태</t>
    <phoneticPr fontId="1" type="noConversion"/>
  </si>
  <si>
    <t>초기 기동여부</t>
    <phoneticPr fontId="1" type="noConversion"/>
  </si>
  <si>
    <t>1 : 운전
0 : 정지</t>
    <phoneticPr fontId="1" type="noConversion"/>
  </si>
  <si>
    <t>1 : 초기기동
0 : 일반기동</t>
    <phoneticPr fontId="1" type="noConversion"/>
  </si>
  <si>
    <t>설명</t>
    <phoneticPr fontId="1" type="noConversion"/>
  </si>
  <si>
    <t>37 ~ 75</t>
    <phoneticPr fontId="1" type="noConversion"/>
  </si>
  <si>
    <t>ON 온도</t>
    <phoneticPr fontId="1" type="noConversion"/>
  </si>
  <si>
    <t>OFF 온도</t>
    <phoneticPr fontId="1" type="noConversion"/>
  </si>
  <si>
    <t>ms</t>
    <phoneticPr fontId="1" type="noConversion"/>
  </si>
  <si>
    <t>0.1℃ 단위</t>
    <phoneticPr fontId="1" type="noConversion"/>
  </si>
  <si>
    <t>공조시스템</t>
    <phoneticPr fontId="1" type="noConversion"/>
  </si>
  <si>
    <t>1 : 가동
0 : 정지</t>
    <phoneticPr fontId="1" type="noConversion"/>
  </si>
  <si>
    <t>초 단위</t>
    <phoneticPr fontId="1" type="noConversion"/>
  </si>
  <si>
    <t>압축기 팬 출력상태</t>
    <phoneticPr fontId="1" type="noConversion"/>
  </si>
  <si>
    <t>얼음탱크 팬 출력상태</t>
    <phoneticPr fontId="1" type="noConversion"/>
  </si>
  <si>
    <t>냉매전환밸브 1 
현재위치</t>
    <phoneticPr fontId="1" type="noConversion"/>
  </si>
  <si>
    <t>냉매전환밸브 2 
현재위치
(병렬 구조)</t>
    <phoneticPr fontId="1" type="noConversion"/>
  </si>
  <si>
    <t>E81 ~ E88?</t>
    <phoneticPr fontId="1" type="noConversion"/>
  </si>
  <si>
    <t>제빙 데이터</t>
    <phoneticPr fontId="1" type="noConversion"/>
  </si>
  <si>
    <t>제빙용 목표 RPS</t>
    <phoneticPr fontId="1" type="noConversion"/>
  </si>
  <si>
    <t xml:space="preserve"> 냉각용 목표 RPS</t>
    <phoneticPr fontId="1" type="noConversion"/>
  </si>
  <si>
    <t>EXCEL로…</t>
    <phoneticPr fontId="1" type="noConversion"/>
  </si>
  <si>
    <t>Hz</t>
    <phoneticPr fontId="1" type="noConversion"/>
  </si>
  <si>
    <t>제빙시간 [HIGH]</t>
    <phoneticPr fontId="1" type="noConversion"/>
  </si>
  <si>
    <t>제빙시간 [LOW]</t>
    <phoneticPr fontId="1" type="noConversion"/>
  </si>
  <si>
    <t>입수 용량 [HIGH]</t>
    <phoneticPr fontId="1" type="noConversion"/>
  </si>
  <si>
    <t>입수 용량 [LOW]</t>
    <phoneticPr fontId="1" type="noConversion"/>
  </si>
  <si>
    <t>0.1초</t>
    <phoneticPr fontId="1" type="noConversion"/>
  </si>
  <si>
    <t>보냉 데이터</t>
    <phoneticPr fontId="1" type="noConversion"/>
  </si>
  <si>
    <t>보냉 STEP</t>
    <phoneticPr fontId="1" type="noConversion"/>
  </si>
  <si>
    <t>보냉용 목표 RPS</t>
    <phoneticPr fontId="1" type="noConversion"/>
  </si>
  <si>
    <t>보냉 목표온도</t>
    <phoneticPr fontId="1" type="noConversion"/>
  </si>
  <si>
    <t>보냉 첫 목표온도</t>
    <phoneticPr fontId="1" type="noConversion"/>
  </si>
  <si>
    <t>보냉 트레이 위치</t>
    <phoneticPr fontId="1" type="noConversion"/>
  </si>
  <si>
    <t>※ CRC는 STX부터 DATA FIELD의 마지막까지의 CRC값이다.</t>
    <phoneticPr fontId="1" type="noConversion"/>
  </si>
  <si>
    <t>밸브 NOS 1 상태</t>
    <phoneticPr fontId="1" type="noConversion"/>
  </si>
  <si>
    <t>밸브 NOS 2 상태</t>
    <phoneticPr fontId="1" type="noConversion"/>
  </si>
  <si>
    <t>밸브 NOS 3 상태</t>
    <phoneticPr fontId="1" type="noConversion"/>
  </si>
  <si>
    <t>밸브 NOS 4 상태</t>
    <phoneticPr fontId="1" type="noConversion"/>
  </si>
  <si>
    <t>밸브 NOS 5 상태</t>
    <phoneticPr fontId="1" type="noConversion"/>
  </si>
  <si>
    <t>1 : CLOSE
0 : OPEN</t>
    <phoneticPr fontId="1" type="noConversion"/>
  </si>
  <si>
    <t>밸브 FEED 1 상태</t>
    <phoneticPr fontId="1" type="noConversion"/>
  </si>
  <si>
    <t>1 : OPEN
0 : CLOSE</t>
    <phoneticPr fontId="1" type="noConversion"/>
  </si>
  <si>
    <t>밸브 FEED 2 상태</t>
    <phoneticPr fontId="1" type="noConversion"/>
  </si>
  <si>
    <t>밸브 FEED 3 상태</t>
    <phoneticPr fontId="1" type="noConversion"/>
  </si>
  <si>
    <t>밸브 FEED 4 상태</t>
    <phoneticPr fontId="1" type="noConversion"/>
  </si>
  <si>
    <t>밸브 FEED 5 상태</t>
    <phoneticPr fontId="1" type="noConversion"/>
  </si>
  <si>
    <t>밸브 FEED 6 상태</t>
    <phoneticPr fontId="1" type="noConversion"/>
  </si>
  <si>
    <t>밸브 FEED 7 상태</t>
    <phoneticPr fontId="1" type="noConversion"/>
  </si>
  <si>
    <t>밸브 FEED 8 상태</t>
    <phoneticPr fontId="1" type="noConversion"/>
  </si>
  <si>
    <t>밸브 FEED 9 상태</t>
    <phoneticPr fontId="1" type="noConversion"/>
  </si>
  <si>
    <t>밸브 FEED 10 상태</t>
    <phoneticPr fontId="1" type="noConversion"/>
  </si>
  <si>
    <t>밸브 FEED 11 상태</t>
    <phoneticPr fontId="1" type="noConversion"/>
  </si>
  <si>
    <t>밸브 FEED 12 상태</t>
    <phoneticPr fontId="1" type="noConversion"/>
  </si>
  <si>
    <t>밸브 FEED 13 상태</t>
    <phoneticPr fontId="1" type="noConversion"/>
  </si>
  <si>
    <t>밸브 FEED 14 상태</t>
    <phoneticPr fontId="1" type="noConversion"/>
  </si>
  <si>
    <t>밸브 FEED 15 상태</t>
    <phoneticPr fontId="1" type="noConversion"/>
  </si>
  <si>
    <t>밸브 상태</t>
    <phoneticPr fontId="1" type="noConversion"/>
  </si>
  <si>
    <t>드레인탱크 저수위</t>
    <phoneticPr fontId="1" type="noConversion"/>
  </si>
  <si>
    <t>1 : 감지
0 : 미감지</t>
    <phoneticPr fontId="1" type="noConversion"/>
  </si>
  <si>
    <t>드레인탱크 만수위</t>
    <phoneticPr fontId="1" type="noConversion"/>
  </si>
  <si>
    <t>수위 상태</t>
    <phoneticPr fontId="1" type="noConversion"/>
  </si>
  <si>
    <t>0 : 없음
1 : 저수위
2 : 중수위
3 : 만수위
4 : 에러</t>
    <phoneticPr fontId="1" type="noConversion"/>
  </si>
  <si>
    <t>드레인 펌프 출력상태</t>
    <phoneticPr fontId="1" type="noConversion"/>
  </si>
  <si>
    <t>드레인 탱크</t>
    <phoneticPr fontId="1" type="noConversion"/>
  </si>
  <si>
    <t xml:space="preserve">0 : 제빙
1 : 중간
2 : 탈빙 </t>
    <phoneticPr fontId="1" type="noConversion"/>
  </si>
  <si>
    <t>기타</t>
    <phoneticPr fontId="1" type="noConversion"/>
  </si>
  <si>
    <t>얼음탱크 커버</t>
    <phoneticPr fontId="1" type="noConversion"/>
  </si>
  <si>
    <t>1 : 열림
0 : 닫힘</t>
    <phoneticPr fontId="1" type="noConversion"/>
  </si>
  <si>
    <t>0 : 더미탈빙
1 ~ : 제빙STEP</t>
    <phoneticPr fontId="1" type="noConversion"/>
  </si>
  <si>
    <t>얼음걸림 상태</t>
    <phoneticPr fontId="1" type="noConversion"/>
  </si>
  <si>
    <t>0 : 없음
1 : 걸림</t>
    <phoneticPr fontId="1" type="noConversion"/>
  </si>
  <si>
    <t>0.1초
Ex) 6 : 0.6초</t>
    <phoneticPr fontId="1" type="noConversion"/>
  </si>
  <si>
    <t>압축기 안정시간 [HIGH]</t>
    <phoneticPr fontId="1" type="noConversion"/>
  </si>
  <si>
    <t>압축기 안정시간 [LOW]</t>
    <phoneticPr fontId="1" type="noConversion"/>
  </si>
  <si>
    <t>압축기 출력상태</t>
    <phoneticPr fontId="1" type="noConversion"/>
  </si>
  <si>
    <t>압축기 에러코드</t>
    <phoneticPr fontId="1" type="noConversion"/>
  </si>
  <si>
    <t>압축기 현재 RPS</t>
    <phoneticPr fontId="1" type="noConversion"/>
  </si>
  <si>
    <t>추가 기동시간 High</t>
    <phoneticPr fontId="1" type="noConversion"/>
  </si>
  <si>
    <t>추가 기동시간 Low</t>
    <phoneticPr fontId="1" type="noConversion"/>
  </si>
  <si>
    <t>0 : 냉각
1 : 제빙
2 : 핫가스
3 : 보냉</t>
    <phoneticPr fontId="1" type="noConversion"/>
  </si>
  <si>
    <t>0xF0</t>
    <phoneticPr fontId="1" type="noConversion"/>
  </si>
  <si>
    <t>※ 통신속도 : 9600bps (PTA장비랑 같은 속도)</t>
    <phoneticPr fontId="1" type="noConversion"/>
  </si>
  <si>
    <t>필터리드스위치</t>
    <phoneticPr fontId="1" type="noConversion"/>
  </si>
  <si>
    <t>전면커버스위치</t>
    <phoneticPr fontId="1" type="noConversion"/>
  </si>
  <si>
    <t>리드스위치</t>
    <phoneticPr fontId="1" type="noConversion"/>
  </si>
  <si>
    <t>트레이 위치</t>
    <phoneticPr fontId="1" type="noConversion"/>
  </si>
  <si>
    <t>추가시간 High (ms)</t>
    <phoneticPr fontId="1" type="noConversion"/>
  </si>
  <si>
    <t>추가시간 Low (ms)</t>
    <phoneticPr fontId="1" type="noConversion"/>
  </si>
  <si>
    <t>-</t>
    <phoneticPr fontId="1" type="noConversion"/>
  </si>
  <si>
    <t>TARGET RPS
(고정값 적용됨)</t>
    <phoneticPr fontId="1" type="noConversion"/>
  </si>
  <si>
    <t>냉각제어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</si>
</sst>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Fill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0" fillId="0" borderId="0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quotePrefix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3" fillId="0" borderId="4" xfId="0" quotePrefix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E35C0-487B-4D06-A0DE-831179CCD425}">
  <dimension ref="B1:BM13"/>
  <sheetViews>
    <sheetView showGridLines="0" tabSelected="1" zoomScaleNormal="100" workbookViewId="0">
      <selection activeCell="B14" sqref="B14"/>
    </sheetView>
  </sheetViews>
  <sheetFormatPr defaultRowHeight="16.5" x14ac:dyDescent="0.3"/>
  <cols>
    <col min="1" max="1" width="1.125" customWidth="1"/>
    <col min="2" max="2" width="11.25" bestFit="1" customWidth="1"/>
    <col min="3" max="3" width="40.5" bestFit="1" customWidth="1"/>
    <col min="4" max="4" width="15.625" bestFit="1" customWidth="1"/>
    <col min="5" max="5" width="17.375" bestFit="1" customWidth="1"/>
    <col min="6" max="6" width="24.5" bestFit="1" customWidth="1"/>
    <col min="7" max="7" width="24.5" customWidth="1"/>
    <col min="8" max="9" width="22" bestFit="1" customWidth="1"/>
    <col min="10" max="10" width="24.75" bestFit="1" customWidth="1"/>
    <col min="11" max="11" width="25.625" bestFit="1" customWidth="1"/>
    <col min="12" max="12" width="15.5" bestFit="1" customWidth="1"/>
    <col min="13" max="13" width="16" bestFit="1" customWidth="1"/>
  </cols>
  <sheetData>
    <row r="1" spans="2:65" x14ac:dyDescent="0.3">
      <c r="C1" s="2"/>
    </row>
    <row r="2" spans="2:65" x14ac:dyDescent="0.3">
      <c r="B2" s="7" t="s">
        <v>42</v>
      </c>
      <c r="C2" s="6"/>
      <c r="D2" s="5"/>
      <c r="E2" s="5"/>
      <c r="F2" s="8"/>
      <c r="G2" s="8"/>
    </row>
    <row r="3" spans="2:65" x14ac:dyDescent="0.3">
      <c r="B3" s="10" t="s">
        <v>39</v>
      </c>
      <c r="C3" s="10" t="s">
        <v>2</v>
      </c>
      <c r="D3" s="10" t="s">
        <v>38</v>
      </c>
      <c r="E3" s="10" t="s">
        <v>7</v>
      </c>
      <c r="F3" s="10" t="s">
        <v>8</v>
      </c>
      <c r="G3" s="10" t="s">
        <v>11</v>
      </c>
      <c r="H3" s="10" t="s">
        <v>12</v>
      </c>
      <c r="I3" s="10" t="s">
        <v>18</v>
      </c>
      <c r="J3" s="10" t="s">
        <v>21</v>
      </c>
      <c r="K3" s="10" t="s">
        <v>14</v>
      </c>
      <c r="L3" s="10" t="s">
        <v>36</v>
      </c>
      <c r="M3" s="34" t="s">
        <v>37</v>
      </c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  <c r="BH3" s="34"/>
      <c r="BI3" s="34"/>
      <c r="BJ3" s="34"/>
      <c r="BK3" s="34"/>
      <c r="BL3" s="34"/>
      <c r="BM3" s="34"/>
    </row>
    <row r="4" spans="2:65" x14ac:dyDescent="0.3">
      <c r="B4" s="24" t="s">
        <v>40</v>
      </c>
      <c r="C4" s="4" t="s">
        <v>41</v>
      </c>
      <c r="D4" s="25">
        <v>0</v>
      </c>
      <c r="E4" s="33" t="s">
        <v>34</v>
      </c>
      <c r="F4" s="33" t="s">
        <v>34</v>
      </c>
      <c r="G4" s="33" t="s">
        <v>34</v>
      </c>
      <c r="H4" s="33" t="s">
        <v>34</v>
      </c>
      <c r="I4" s="33" t="s">
        <v>34</v>
      </c>
      <c r="J4" s="33" t="s">
        <v>34</v>
      </c>
      <c r="K4" s="33" t="s">
        <v>34</v>
      </c>
      <c r="L4" s="33" t="s">
        <v>34</v>
      </c>
      <c r="M4" s="35" t="s">
        <v>34</v>
      </c>
    </row>
    <row r="5" spans="2:65" x14ac:dyDescent="0.3">
      <c r="B5" s="24"/>
      <c r="C5" s="4" t="s">
        <v>60</v>
      </c>
      <c r="D5" s="26"/>
      <c r="E5" s="32"/>
      <c r="F5" s="32"/>
      <c r="G5" s="32"/>
      <c r="H5" s="32"/>
      <c r="I5" s="32"/>
      <c r="J5" s="32"/>
      <c r="K5" s="32"/>
      <c r="L5" s="32"/>
      <c r="M5" s="32"/>
    </row>
    <row r="6" spans="2:65" x14ac:dyDescent="0.3">
      <c r="B6" s="29" t="s">
        <v>163</v>
      </c>
      <c r="C6" s="4" t="s">
        <v>45</v>
      </c>
      <c r="D6" s="28">
        <v>4</v>
      </c>
      <c r="E6" s="44" t="s">
        <v>162</v>
      </c>
      <c r="F6" s="31" t="s">
        <v>9</v>
      </c>
      <c r="G6" s="31" t="s">
        <v>10</v>
      </c>
      <c r="H6" s="30" t="s">
        <v>159</v>
      </c>
      <c r="I6" s="33" t="s">
        <v>160</v>
      </c>
      <c r="J6" s="43" t="s">
        <v>161</v>
      </c>
      <c r="K6" s="33" t="s">
        <v>161</v>
      </c>
      <c r="L6" s="33" t="s">
        <v>34</v>
      </c>
      <c r="M6" s="33" t="s">
        <v>34</v>
      </c>
    </row>
    <row r="7" spans="2:65" x14ac:dyDescent="0.3">
      <c r="B7" s="29"/>
      <c r="C7" s="3" t="s">
        <v>5</v>
      </c>
      <c r="D7" s="28"/>
      <c r="E7" s="27"/>
      <c r="F7" s="32"/>
      <c r="G7" s="32"/>
      <c r="H7" s="30"/>
      <c r="I7" s="32"/>
      <c r="J7" s="30"/>
      <c r="K7" s="32"/>
      <c r="L7" s="32"/>
      <c r="M7" s="32"/>
    </row>
    <row r="8" spans="2:65" x14ac:dyDescent="0.3">
      <c r="B8" s="29"/>
      <c r="C8" s="4" t="s">
        <v>46</v>
      </c>
      <c r="D8" s="28">
        <v>7</v>
      </c>
      <c r="E8" s="44" t="s">
        <v>162</v>
      </c>
      <c r="F8" s="27" t="s">
        <v>25</v>
      </c>
      <c r="G8" s="30" t="s">
        <v>15</v>
      </c>
      <c r="H8" s="30" t="s">
        <v>28</v>
      </c>
      <c r="I8" s="30" t="s">
        <v>29</v>
      </c>
      <c r="J8" s="30" t="s">
        <v>23</v>
      </c>
      <c r="K8" s="30" t="s">
        <v>22</v>
      </c>
      <c r="L8" s="30" t="s">
        <v>16</v>
      </c>
      <c r="M8" s="30" t="s">
        <v>17</v>
      </c>
    </row>
    <row r="9" spans="2:65" x14ac:dyDescent="0.3">
      <c r="B9" s="29"/>
      <c r="C9" s="3" t="s">
        <v>6</v>
      </c>
      <c r="D9" s="28"/>
      <c r="E9" s="27"/>
      <c r="F9" s="27"/>
      <c r="G9" s="30"/>
      <c r="H9" s="30"/>
      <c r="I9" s="30"/>
      <c r="J9" s="30"/>
      <c r="K9" s="30"/>
      <c r="L9" s="30"/>
      <c r="M9" s="30"/>
    </row>
    <row r="10" spans="2:65" x14ac:dyDescent="0.3">
      <c r="B10" s="29"/>
      <c r="C10" s="4" t="s">
        <v>47</v>
      </c>
      <c r="D10" s="28">
        <v>4</v>
      </c>
      <c r="E10" s="44" t="s">
        <v>162</v>
      </c>
      <c r="F10" s="27" t="s">
        <v>25</v>
      </c>
      <c r="G10" s="27" t="s">
        <v>26</v>
      </c>
      <c r="H10" s="30" t="s">
        <v>27</v>
      </c>
      <c r="I10" s="33" t="s">
        <v>34</v>
      </c>
      <c r="J10" s="33" t="s">
        <v>34</v>
      </c>
      <c r="K10" s="33" t="s">
        <v>34</v>
      </c>
      <c r="L10" s="33" t="s">
        <v>34</v>
      </c>
      <c r="M10" s="33" t="s">
        <v>34</v>
      </c>
    </row>
    <row r="11" spans="2:65" x14ac:dyDescent="0.3">
      <c r="B11" s="29"/>
      <c r="C11" s="4" t="s">
        <v>24</v>
      </c>
      <c r="D11" s="28"/>
      <c r="E11" s="27"/>
      <c r="F11" s="27"/>
      <c r="G11" s="27"/>
      <c r="H11" s="30"/>
      <c r="I11" s="32"/>
      <c r="J11" s="32"/>
      <c r="K11" s="32"/>
      <c r="L11" s="32"/>
      <c r="M11" s="32"/>
    </row>
    <row r="12" spans="2:65" x14ac:dyDescent="0.3">
      <c r="B12" s="29"/>
      <c r="C12" s="4" t="s">
        <v>48</v>
      </c>
      <c r="D12" s="27">
        <v>93</v>
      </c>
      <c r="E12" s="31" t="s">
        <v>30</v>
      </c>
      <c r="F12" s="31" t="s">
        <v>13</v>
      </c>
      <c r="G12" s="31" t="s">
        <v>31</v>
      </c>
      <c r="H12" s="31" t="s">
        <v>32</v>
      </c>
      <c r="I12" s="31" t="s">
        <v>33</v>
      </c>
      <c r="J12" s="31" t="s">
        <v>35</v>
      </c>
      <c r="K12" s="30" t="s">
        <v>49</v>
      </c>
      <c r="L12" s="31" t="s">
        <v>3</v>
      </c>
      <c r="M12" s="30" t="s">
        <v>19</v>
      </c>
    </row>
    <row r="13" spans="2:65" x14ac:dyDescent="0.3">
      <c r="B13" s="29"/>
      <c r="C13" s="3" t="s">
        <v>20</v>
      </c>
      <c r="D13" s="27"/>
      <c r="E13" s="32"/>
      <c r="F13" s="32"/>
      <c r="G13" s="32"/>
      <c r="H13" s="32"/>
      <c r="I13" s="32"/>
      <c r="J13" s="32"/>
      <c r="K13" s="30"/>
      <c r="L13" s="32"/>
      <c r="M13" s="30"/>
    </row>
  </sheetData>
  <mergeCells count="53">
    <mergeCell ref="M3:BM3"/>
    <mergeCell ref="J4:J5"/>
    <mergeCell ref="K4:K5"/>
    <mergeCell ref="L4:L5"/>
    <mergeCell ref="M4:M5"/>
    <mergeCell ref="E4:E5"/>
    <mergeCell ref="F4:F5"/>
    <mergeCell ref="G4:G5"/>
    <mergeCell ref="H4:H5"/>
    <mergeCell ref="I4:I5"/>
    <mergeCell ref="M12:M13"/>
    <mergeCell ref="L12:L13"/>
    <mergeCell ref="M6:M7"/>
    <mergeCell ref="L6:L7"/>
    <mergeCell ref="K6:K7"/>
    <mergeCell ref="J10:J11"/>
    <mergeCell ref="K10:K11"/>
    <mergeCell ref="L10:L11"/>
    <mergeCell ref="M10:M11"/>
    <mergeCell ref="K12:K13"/>
    <mergeCell ref="G12:G13"/>
    <mergeCell ref="H12:H13"/>
    <mergeCell ref="I12:I13"/>
    <mergeCell ref="J12:J13"/>
    <mergeCell ref="K8:K9"/>
    <mergeCell ref="L8:L9"/>
    <mergeCell ref="M8:M9"/>
    <mergeCell ref="G10:G11"/>
    <mergeCell ref="H10:H11"/>
    <mergeCell ref="I10:I11"/>
    <mergeCell ref="G6:G7"/>
    <mergeCell ref="G8:G9"/>
    <mergeCell ref="H8:H9"/>
    <mergeCell ref="I8:I9"/>
    <mergeCell ref="J8:J9"/>
    <mergeCell ref="H6:H7"/>
    <mergeCell ref="I6:I7"/>
    <mergeCell ref="J6:J7"/>
    <mergeCell ref="E8:E9"/>
    <mergeCell ref="E10:E11"/>
    <mergeCell ref="F8:F9"/>
    <mergeCell ref="F6:F7"/>
    <mergeCell ref="F10:F11"/>
    <mergeCell ref="E12:E13"/>
    <mergeCell ref="E6:E7"/>
    <mergeCell ref="F12:F13"/>
    <mergeCell ref="B4:B5"/>
    <mergeCell ref="D4:D5"/>
    <mergeCell ref="D12:D13"/>
    <mergeCell ref="D6:D7"/>
    <mergeCell ref="D8:D9"/>
    <mergeCell ref="D10:D11"/>
    <mergeCell ref="B6:B13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21FFD-1EFE-4B40-9796-CC74E04442A4}">
  <dimension ref="B1:D16"/>
  <sheetViews>
    <sheetView showGridLines="0" workbookViewId="0">
      <selection activeCell="B16" sqref="B16"/>
    </sheetView>
  </sheetViews>
  <sheetFormatPr defaultRowHeight="16.5" x14ac:dyDescent="0.3"/>
  <cols>
    <col min="1" max="1" width="1.375" customWidth="1"/>
    <col min="2" max="2" width="9" style="1" customWidth="1"/>
    <col min="3" max="3" width="23" style="1" bestFit="1" customWidth="1"/>
    <col min="4" max="4" width="11.125" style="1" customWidth="1"/>
    <col min="5" max="5" width="11.625" bestFit="1" customWidth="1"/>
  </cols>
  <sheetData>
    <row r="1" spans="2:4" ht="5.25" customHeight="1" x14ac:dyDescent="0.3">
      <c r="B1"/>
      <c r="C1"/>
      <c r="D1"/>
    </row>
    <row r="2" spans="2:4" x14ac:dyDescent="0.3">
      <c r="B2" s="7" t="s">
        <v>52</v>
      </c>
      <c r="C2"/>
      <c r="D2"/>
    </row>
    <row r="3" spans="2:4" x14ac:dyDescent="0.3">
      <c r="B3" s="12">
        <v>0</v>
      </c>
      <c r="C3" s="12" t="s">
        <v>0</v>
      </c>
      <c r="D3" s="9"/>
    </row>
    <row r="4" spans="2:4" x14ac:dyDescent="0.3">
      <c r="B4" s="12">
        <v>1</v>
      </c>
      <c r="C4" s="12" t="s">
        <v>1</v>
      </c>
      <c r="D4" s="9"/>
    </row>
    <row r="5" spans="2:4" x14ac:dyDescent="0.3">
      <c r="B5" s="12">
        <v>2</v>
      </c>
      <c r="C5" s="12" t="s">
        <v>2</v>
      </c>
      <c r="D5" s="9"/>
    </row>
    <row r="6" spans="2:4" x14ac:dyDescent="0.3">
      <c r="B6" s="12">
        <v>3</v>
      </c>
      <c r="C6" s="12" t="s">
        <v>53</v>
      </c>
      <c r="D6" s="9"/>
    </row>
    <row r="7" spans="2:4" x14ac:dyDescent="0.3">
      <c r="B7" s="12">
        <v>4</v>
      </c>
      <c r="C7" s="12" t="s">
        <v>54</v>
      </c>
      <c r="D7" s="9"/>
    </row>
    <row r="8" spans="2:4" x14ac:dyDescent="0.3">
      <c r="B8" s="12" t="s">
        <v>3</v>
      </c>
      <c r="C8" s="12" t="s">
        <v>3</v>
      </c>
      <c r="D8" s="9"/>
    </row>
    <row r="9" spans="2:4" x14ac:dyDescent="0.3">
      <c r="B9" s="12" t="s">
        <v>57</v>
      </c>
      <c r="C9" s="12" t="s">
        <v>55</v>
      </c>
      <c r="D9" s="9"/>
    </row>
    <row r="10" spans="2:4" x14ac:dyDescent="0.3">
      <c r="B10" s="12" t="s">
        <v>58</v>
      </c>
      <c r="C10" s="12" t="s">
        <v>56</v>
      </c>
      <c r="D10" s="9"/>
    </row>
    <row r="11" spans="2:4" x14ac:dyDescent="0.3">
      <c r="B11" s="12" t="s">
        <v>59</v>
      </c>
      <c r="C11" s="12" t="s">
        <v>4</v>
      </c>
      <c r="D11" s="9"/>
    </row>
    <row r="12" spans="2:4" x14ac:dyDescent="0.3">
      <c r="B12"/>
      <c r="C12"/>
      <c r="D12"/>
    </row>
    <row r="13" spans="2:4" x14ac:dyDescent="0.3">
      <c r="B13" s="11" t="s">
        <v>43</v>
      </c>
    </row>
    <row r="14" spans="2:4" x14ac:dyDescent="0.3">
      <c r="B14" s="11" t="s">
        <v>44</v>
      </c>
    </row>
    <row r="15" spans="2:4" x14ac:dyDescent="0.3">
      <c r="B15" s="11" t="s">
        <v>106</v>
      </c>
    </row>
    <row r="16" spans="2:4" x14ac:dyDescent="0.3">
      <c r="B16" s="11" t="s">
        <v>154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A00FB-797A-4EF3-AE36-C2C62770D12C}">
  <dimension ref="B1:F1048576"/>
  <sheetViews>
    <sheetView showGridLines="0" topLeftCell="A39" workbookViewId="0">
      <selection activeCell="C39" sqref="C39"/>
    </sheetView>
  </sheetViews>
  <sheetFormatPr defaultRowHeight="16.5" x14ac:dyDescent="0.3"/>
  <cols>
    <col min="1" max="1" width="1.625" customWidth="1"/>
    <col min="2" max="2" width="9" style="1" customWidth="1"/>
    <col min="3" max="3" width="23" style="1" bestFit="1" customWidth="1"/>
    <col min="4" max="4" width="16.625" style="1" customWidth="1"/>
    <col min="5" max="5" width="11.625" bestFit="1" customWidth="1"/>
  </cols>
  <sheetData>
    <row r="1" spans="2:6" ht="14.25" customHeight="1" thickBot="1" x14ac:dyDescent="0.35">
      <c r="B1"/>
      <c r="C1"/>
      <c r="D1"/>
    </row>
    <row r="2" spans="2:6" x14ac:dyDescent="0.3">
      <c r="B2" s="16" t="s">
        <v>2</v>
      </c>
      <c r="C2" s="37" t="s">
        <v>153</v>
      </c>
      <c r="D2" s="38"/>
      <c r="E2" s="39"/>
    </row>
    <row r="3" spans="2:6" x14ac:dyDescent="0.3">
      <c r="B3" s="40" t="s">
        <v>61</v>
      </c>
      <c r="C3" s="41"/>
      <c r="D3" s="18" t="s">
        <v>76</v>
      </c>
      <c r="E3" s="19" t="s">
        <v>69</v>
      </c>
    </row>
    <row r="4" spans="2:6" x14ac:dyDescent="0.3">
      <c r="B4" s="13">
        <v>1</v>
      </c>
      <c r="C4" s="13" t="s">
        <v>64</v>
      </c>
      <c r="D4" s="13" t="s">
        <v>81</v>
      </c>
      <c r="E4" s="28" t="s">
        <v>70</v>
      </c>
    </row>
    <row r="5" spans="2:6" x14ac:dyDescent="0.3">
      <c r="B5" s="13">
        <f t="shared" ref="B5:B43" si="0">B4+1</f>
        <v>2</v>
      </c>
      <c r="C5" s="13" t="s">
        <v>51</v>
      </c>
      <c r="D5" s="13" t="s">
        <v>81</v>
      </c>
      <c r="E5" s="28"/>
    </row>
    <row r="6" spans="2:6" x14ac:dyDescent="0.3">
      <c r="B6" s="13">
        <f t="shared" si="0"/>
        <v>3</v>
      </c>
      <c r="C6" s="13" t="s">
        <v>62</v>
      </c>
      <c r="D6" s="13" t="s">
        <v>81</v>
      </c>
      <c r="E6" s="28"/>
      <c r="F6" s="9"/>
    </row>
    <row r="7" spans="2:6" x14ac:dyDescent="0.3">
      <c r="B7" s="13">
        <f t="shared" si="0"/>
        <v>4</v>
      </c>
      <c r="C7" s="13" t="s">
        <v>63</v>
      </c>
      <c r="D7" s="13" t="s">
        <v>81</v>
      </c>
      <c r="E7" s="28"/>
    </row>
    <row r="8" spans="2:6" x14ac:dyDescent="0.3">
      <c r="B8" s="13">
        <f t="shared" si="0"/>
        <v>5</v>
      </c>
      <c r="C8" s="13" t="s">
        <v>65</v>
      </c>
      <c r="D8" s="13" t="s">
        <v>81</v>
      </c>
      <c r="E8" s="28"/>
    </row>
    <row r="9" spans="2:6" x14ac:dyDescent="0.3">
      <c r="B9" s="13">
        <f t="shared" si="0"/>
        <v>6</v>
      </c>
      <c r="C9" s="13" t="s">
        <v>66</v>
      </c>
      <c r="D9" s="13" t="s">
        <v>81</v>
      </c>
      <c r="E9" s="28"/>
    </row>
    <row r="10" spans="2:6" x14ac:dyDescent="0.3">
      <c r="B10" s="13">
        <f t="shared" si="0"/>
        <v>7</v>
      </c>
      <c r="C10" s="13" t="s">
        <v>67</v>
      </c>
      <c r="D10" s="13" t="s">
        <v>81</v>
      </c>
      <c r="E10" s="28"/>
    </row>
    <row r="11" spans="2:6" x14ac:dyDescent="0.3">
      <c r="B11" s="13">
        <f t="shared" si="0"/>
        <v>8</v>
      </c>
      <c r="C11" s="13" t="s">
        <v>68</v>
      </c>
      <c r="D11" s="15" t="s">
        <v>34</v>
      </c>
      <c r="E11" s="28"/>
    </row>
    <row r="12" spans="2:6" x14ac:dyDescent="0.3">
      <c r="B12" s="13">
        <f t="shared" si="0"/>
        <v>9</v>
      </c>
      <c r="C12" s="13" t="s">
        <v>68</v>
      </c>
      <c r="D12" s="15" t="s">
        <v>34</v>
      </c>
      <c r="E12" s="28"/>
    </row>
    <row r="13" spans="2:6" x14ac:dyDescent="0.3">
      <c r="B13" s="13">
        <f t="shared" si="0"/>
        <v>10</v>
      </c>
      <c r="C13" s="13" t="s">
        <v>68</v>
      </c>
      <c r="D13" s="15" t="s">
        <v>34</v>
      </c>
      <c r="E13" s="28"/>
    </row>
    <row r="14" spans="2:6" x14ac:dyDescent="0.3">
      <c r="B14" s="13">
        <f t="shared" si="0"/>
        <v>11</v>
      </c>
      <c r="C14" s="13" t="s">
        <v>68</v>
      </c>
      <c r="D14" s="15" t="s">
        <v>34</v>
      </c>
      <c r="E14" s="28"/>
    </row>
    <row r="15" spans="2:6" x14ac:dyDescent="0.3">
      <c r="B15" s="13">
        <f t="shared" si="0"/>
        <v>12</v>
      </c>
      <c r="C15" s="13" t="s">
        <v>68</v>
      </c>
      <c r="D15" s="15" t="s">
        <v>34</v>
      </c>
      <c r="E15" s="28"/>
    </row>
    <row r="16" spans="2:6" x14ac:dyDescent="0.3">
      <c r="B16" s="13">
        <f t="shared" si="0"/>
        <v>13</v>
      </c>
      <c r="C16" s="13" t="s">
        <v>68</v>
      </c>
      <c r="D16" s="15" t="s">
        <v>34</v>
      </c>
      <c r="E16" s="28"/>
    </row>
    <row r="17" spans="2:5" ht="33" customHeight="1" x14ac:dyDescent="0.3">
      <c r="B17" s="20">
        <f t="shared" si="0"/>
        <v>14</v>
      </c>
      <c r="C17" s="13" t="s">
        <v>107</v>
      </c>
      <c r="D17" s="36" t="s">
        <v>112</v>
      </c>
      <c r="E17" s="28" t="s">
        <v>129</v>
      </c>
    </row>
    <row r="18" spans="2:5" x14ac:dyDescent="0.3">
      <c r="B18" s="20">
        <f t="shared" si="0"/>
        <v>15</v>
      </c>
      <c r="C18" s="13" t="s">
        <v>108</v>
      </c>
      <c r="D18" s="36"/>
      <c r="E18" s="28"/>
    </row>
    <row r="19" spans="2:5" x14ac:dyDescent="0.3">
      <c r="B19" s="20">
        <f t="shared" si="0"/>
        <v>16</v>
      </c>
      <c r="C19" s="13" t="s">
        <v>109</v>
      </c>
      <c r="D19" s="36"/>
      <c r="E19" s="28"/>
    </row>
    <row r="20" spans="2:5" x14ac:dyDescent="0.3">
      <c r="B20" s="20">
        <f t="shared" si="0"/>
        <v>17</v>
      </c>
      <c r="C20" s="13" t="s">
        <v>110</v>
      </c>
      <c r="D20" s="36"/>
      <c r="E20" s="28"/>
    </row>
    <row r="21" spans="2:5" x14ac:dyDescent="0.3">
      <c r="B21" s="20">
        <f t="shared" si="0"/>
        <v>18</v>
      </c>
      <c r="C21" s="13" t="s">
        <v>111</v>
      </c>
      <c r="D21" s="36"/>
      <c r="E21" s="28"/>
    </row>
    <row r="22" spans="2:5" x14ac:dyDescent="0.3">
      <c r="B22" s="20">
        <f t="shared" si="0"/>
        <v>19</v>
      </c>
      <c r="C22" s="13" t="s">
        <v>113</v>
      </c>
      <c r="D22" s="36" t="s">
        <v>114</v>
      </c>
      <c r="E22" s="28"/>
    </row>
    <row r="23" spans="2:5" x14ac:dyDescent="0.3">
      <c r="B23" s="20">
        <f t="shared" si="0"/>
        <v>20</v>
      </c>
      <c r="C23" s="13" t="s">
        <v>115</v>
      </c>
      <c r="D23" s="36"/>
      <c r="E23" s="28"/>
    </row>
    <row r="24" spans="2:5" x14ac:dyDescent="0.3">
      <c r="B24" s="20">
        <f t="shared" si="0"/>
        <v>21</v>
      </c>
      <c r="C24" s="13" t="s">
        <v>116</v>
      </c>
      <c r="D24" s="36"/>
      <c r="E24" s="28"/>
    </row>
    <row r="25" spans="2:5" x14ac:dyDescent="0.3">
      <c r="B25" s="20">
        <f t="shared" si="0"/>
        <v>22</v>
      </c>
      <c r="C25" s="13" t="s">
        <v>117</v>
      </c>
      <c r="D25" s="36"/>
      <c r="E25" s="28"/>
    </row>
    <row r="26" spans="2:5" x14ac:dyDescent="0.3">
      <c r="B26" s="20">
        <f t="shared" si="0"/>
        <v>23</v>
      </c>
      <c r="C26" s="13" t="s">
        <v>118</v>
      </c>
      <c r="D26" s="36"/>
      <c r="E26" s="28"/>
    </row>
    <row r="27" spans="2:5" x14ac:dyDescent="0.3">
      <c r="B27" s="20">
        <f t="shared" si="0"/>
        <v>24</v>
      </c>
      <c r="C27" s="13" t="s">
        <v>119</v>
      </c>
      <c r="D27" s="36"/>
      <c r="E27" s="28"/>
    </row>
    <row r="28" spans="2:5" x14ac:dyDescent="0.3">
      <c r="B28" s="20">
        <f t="shared" si="0"/>
        <v>25</v>
      </c>
      <c r="C28" s="13" t="s">
        <v>120</v>
      </c>
      <c r="D28" s="36"/>
      <c r="E28" s="28"/>
    </row>
    <row r="29" spans="2:5" x14ac:dyDescent="0.3">
      <c r="B29" s="20">
        <f t="shared" si="0"/>
        <v>26</v>
      </c>
      <c r="C29" s="13" t="s">
        <v>121</v>
      </c>
      <c r="D29" s="36"/>
      <c r="E29" s="28"/>
    </row>
    <row r="30" spans="2:5" x14ac:dyDescent="0.3">
      <c r="B30" s="20">
        <f t="shared" si="0"/>
        <v>27</v>
      </c>
      <c r="C30" s="13" t="s">
        <v>122</v>
      </c>
      <c r="D30" s="36"/>
      <c r="E30" s="28"/>
    </row>
    <row r="31" spans="2:5" x14ac:dyDescent="0.3">
      <c r="B31" s="20">
        <f t="shared" si="0"/>
        <v>28</v>
      </c>
      <c r="C31" s="13" t="s">
        <v>123</v>
      </c>
      <c r="D31" s="36"/>
      <c r="E31" s="28"/>
    </row>
    <row r="32" spans="2:5" x14ac:dyDescent="0.3">
      <c r="B32" s="20">
        <f t="shared" si="0"/>
        <v>29</v>
      </c>
      <c r="C32" s="13" t="s">
        <v>124</v>
      </c>
      <c r="D32" s="36"/>
      <c r="E32" s="28"/>
    </row>
    <row r="33" spans="2:5" x14ac:dyDescent="0.3">
      <c r="B33" s="20">
        <f t="shared" si="0"/>
        <v>30</v>
      </c>
      <c r="C33" s="13" t="s">
        <v>125</v>
      </c>
      <c r="D33" s="36"/>
      <c r="E33" s="28"/>
    </row>
    <row r="34" spans="2:5" x14ac:dyDescent="0.3">
      <c r="B34" s="20">
        <f t="shared" si="0"/>
        <v>31</v>
      </c>
      <c r="C34" s="13" t="s">
        <v>126</v>
      </c>
      <c r="D34" s="36"/>
      <c r="E34" s="28"/>
    </row>
    <row r="35" spans="2:5" x14ac:dyDescent="0.3">
      <c r="B35" s="20">
        <f t="shared" si="0"/>
        <v>32</v>
      </c>
      <c r="C35" s="13" t="s">
        <v>127</v>
      </c>
      <c r="D35" s="36"/>
      <c r="E35" s="28"/>
    </row>
    <row r="36" spans="2:5" x14ac:dyDescent="0.3">
      <c r="B36" s="20">
        <f t="shared" si="0"/>
        <v>33</v>
      </c>
      <c r="C36" s="13" t="s">
        <v>128</v>
      </c>
      <c r="D36" s="36"/>
      <c r="E36" s="28"/>
    </row>
    <row r="37" spans="2:5" x14ac:dyDescent="0.3">
      <c r="B37" s="20">
        <f t="shared" si="0"/>
        <v>34</v>
      </c>
      <c r="C37" s="13" t="s">
        <v>68</v>
      </c>
      <c r="D37" s="15" t="s">
        <v>34</v>
      </c>
      <c r="E37" s="28"/>
    </row>
    <row r="38" spans="2:5" x14ac:dyDescent="0.3">
      <c r="B38" s="20">
        <f t="shared" si="0"/>
        <v>35</v>
      </c>
      <c r="C38" s="13" t="s">
        <v>68</v>
      </c>
      <c r="D38" s="15" t="s">
        <v>34</v>
      </c>
      <c r="E38" s="28"/>
    </row>
    <row r="39" spans="2:5" x14ac:dyDescent="0.3">
      <c r="B39" s="20">
        <f t="shared" si="0"/>
        <v>36</v>
      </c>
      <c r="C39" s="13" t="s">
        <v>68</v>
      </c>
      <c r="D39" s="15" t="s">
        <v>34</v>
      </c>
      <c r="E39" s="28"/>
    </row>
    <row r="40" spans="2:5" x14ac:dyDescent="0.3">
      <c r="B40" s="20">
        <f t="shared" si="0"/>
        <v>37</v>
      </c>
      <c r="C40" s="13" t="s">
        <v>68</v>
      </c>
      <c r="D40" s="15" t="s">
        <v>34</v>
      </c>
      <c r="E40" s="28"/>
    </row>
    <row r="41" spans="2:5" x14ac:dyDescent="0.3">
      <c r="B41" s="20">
        <f t="shared" si="0"/>
        <v>38</v>
      </c>
      <c r="C41" s="13" t="s">
        <v>68</v>
      </c>
      <c r="D41" s="15" t="s">
        <v>34</v>
      </c>
      <c r="E41" s="28"/>
    </row>
    <row r="42" spans="2:5" ht="33" x14ac:dyDescent="0.3">
      <c r="B42" s="20">
        <f t="shared" si="0"/>
        <v>39</v>
      </c>
      <c r="C42" s="20" t="s">
        <v>155</v>
      </c>
      <c r="D42" s="21" t="s">
        <v>131</v>
      </c>
      <c r="E42" s="28" t="s">
        <v>157</v>
      </c>
    </row>
    <row r="43" spans="2:5" ht="33" x14ac:dyDescent="0.3">
      <c r="B43" s="20">
        <f t="shared" si="0"/>
        <v>40</v>
      </c>
      <c r="C43" s="20" t="s">
        <v>156</v>
      </c>
      <c r="D43" s="21" t="s">
        <v>131</v>
      </c>
      <c r="E43" s="28"/>
    </row>
    <row r="1048576" spans="4:4" x14ac:dyDescent="0.3">
      <c r="D1048576" s="23"/>
    </row>
  </sheetData>
  <mergeCells count="7">
    <mergeCell ref="D22:D36"/>
    <mergeCell ref="D17:D21"/>
    <mergeCell ref="E17:E41"/>
    <mergeCell ref="E42:E43"/>
    <mergeCell ref="C2:E2"/>
    <mergeCell ref="B3:C3"/>
    <mergeCell ref="E4:E16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EF8A9-E83E-4FAC-9D94-CD5B37E5D849}">
  <dimension ref="B1:F1048575"/>
  <sheetViews>
    <sheetView showGridLines="0" topLeftCell="A60" workbookViewId="0">
      <selection activeCell="D67" sqref="B67:D67"/>
    </sheetView>
  </sheetViews>
  <sheetFormatPr defaultRowHeight="16.5" x14ac:dyDescent="0.3"/>
  <cols>
    <col min="1" max="1" width="1.625" customWidth="1"/>
    <col min="2" max="2" width="9" style="1" customWidth="1"/>
    <col min="3" max="3" width="23" style="1" bestFit="1" customWidth="1"/>
    <col min="4" max="4" width="16.625" style="1" customWidth="1"/>
    <col min="5" max="5" width="11.625" bestFit="1" customWidth="1"/>
  </cols>
  <sheetData>
    <row r="1" spans="2:5" ht="14.25" customHeight="1" thickBot="1" x14ac:dyDescent="0.35">
      <c r="B1"/>
      <c r="C1"/>
      <c r="D1"/>
    </row>
    <row r="2" spans="2:5" x14ac:dyDescent="0.3">
      <c r="B2" s="16" t="s">
        <v>2</v>
      </c>
      <c r="C2" s="37" t="s">
        <v>153</v>
      </c>
      <c r="D2" s="38"/>
      <c r="E2" s="39"/>
    </row>
    <row r="3" spans="2:5" x14ac:dyDescent="0.3">
      <c r="B3" s="40" t="s">
        <v>61</v>
      </c>
      <c r="C3" s="41"/>
      <c r="D3" s="22" t="s">
        <v>76</v>
      </c>
      <c r="E3" s="19" t="s">
        <v>69</v>
      </c>
    </row>
    <row r="4" spans="2:5" ht="66" x14ac:dyDescent="0.3">
      <c r="B4" s="20">
        <v>1</v>
      </c>
      <c r="C4" s="21" t="s">
        <v>87</v>
      </c>
      <c r="D4" s="21" t="s">
        <v>152</v>
      </c>
      <c r="E4" s="30" t="s">
        <v>82</v>
      </c>
    </row>
    <row r="5" spans="2:5" ht="66" x14ac:dyDescent="0.3">
      <c r="B5" s="20">
        <f>B4+1</f>
        <v>2</v>
      </c>
      <c r="C5" s="21" t="s">
        <v>88</v>
      </c>
      <c r="D5" s="21" t="s">
        <v>152</v>
      </c>
      <c r="E5" s="30"/>
    </row>
    <row r="6" spans="2:5" ht="33" x14ac:dyDescent="0.3">
      <c r="B6" s="20">
        <f t="shared" ref="B6:B69" si="0">B5+1</f>
        <v>3</v>
      </c>
      <c r="C6" s="20" t="s">
        <v>147</v>
      </c>
      <c r="D6" s="21" t="s">
        <v>83</v>
      </c>
      <c r="E6" s="30"/>
    </row>
    <row r="7" spans="2:5" x14ac:dyDescent="0.3">
      <c r="B7" s="20">
        <f t="shared" si="0"/>
        <v>4</v>
      </c>
      <c r="C7" s="20" t="s">
        <v>145</v>
      </c>
      <c r="D7" s="20" t="s">
        <v>84</v>
      </c>
      <c r="E7" s="30"/>
    </row>
    <row r="8" spans="2:5" x14ac:dyDescent="0.3">
      <c r="B8" s="20">
        <f t="shared" si="0"/>
        <v>5</v>
      </c>
      <c r="C8" s="20" t="s">
        <v>146</v>
      </c>
      <c r="D8" s="20" t="s">
        <v>84</v>
      </c>
      <c r="E8" s="30"/>
    </row>
    <row r="9" spans="2:5" x14ac:dyDescent="0.3">
      <c r="B9" s="20">
        <f t="shared" si="0"/>
        <v>6</v>
      </c>
      <c r="C9" s="20" t="s">
        <v>149</v>
      </c>
      <c r="D9" s="20" t="s">
        <v>77</v>
      </c>
      <c r="E9" s="30"/>
    </row>
    <row r="10" spans="2:5" x14ac:dyDescent="0.3">
      <c r="B10" s="20">
        <f t="shared" si="0"/>
        <v>7</v>
      </c>
      <c r="C10" s="20" t="s">
        <v>148</v>
      </c>
      <c r="D10" s="20" t="s">
        <v>89</v>
      </c>
      <c r="E10" s="30"/>
    </row>
    <row r="11" spans="2:5" ht="33" x14ac:dyDescent="0.3">
      <c r="B11" s="20">
        <f t="shared" si="0"/>
        <v>8</v>
      </c>
      <c r="C11" s="20" t="s">
        <v>85</v>
      </c>
      <c r="D11" s="21" t="s">
        <v>83</v>
      </c>
      <c r="E11" s="30"/>
    </row>
    <row r="12" spans="2:5" ht="33" x14ac:dyDescent="0.3">
      <c r="B12" s="20">
        <f t="shared" si="0"/>
        <v>9</v>
      </c>
      <c r="C12" s="20" t="s">
        <v>86</v>
      </c>
      <c r="D12" s="21" t="s">
        <v>83</v>
      </c>
      <c r="E12" s="30"/>
    </row>
    <row r="13" spans="2:5" x14ac:dyDescent="0.3">
      <c r="B13" s="20">
        <f t="shared" si="0"/>
        <v>10</v>
      </c>
      <c r="C13" s="20" t="s">
        <v>68</v>
      </c>
      <c r="D13" s="15" t="s">
        <v>34</v>
      </c>
      <c r="E13" s="30"/>
    </row>
    <row r="14" spans="2:5" x14ac:dyDescent="0.3">
      <c r="B14" s="20">
        <f t="shared" si="0"/>
        <v>11</v>
      </c>
      <c r="C14" s="20" t="s">
        <v>68</v>
      </c>
      <c r="D14" s="15" t="s">
        <v>34</v>
      </c>
      <c r="E14" s="30"/>
    </row>
    <row r="15" spans="2:5" x14ac:dyDescent="0.3">
      <c r="B15" s="20">
        <f t="shared" si="0"/>
        <v>12</v>
      </c>
      <c r="C15" s="20" t="s">
        <v>68</v>
      </c>
      <c r="D15" s="15" t="s">
        <v>34</v>
      </c>
      <c r="E15" s="30"/>
    </row>
    <row r="16" spans="2:5" x14ac:dyDescent="0.3">
      <c r="B16" s="20">
        <f t="shared" si="0"/>
        <v>13</v>
      </c>
      <c r="C16" s="20" t="s">
        <v>68</v>
      </c>
      <c r="D16" s="15" t="s">
        <v>34</v>
      </c>
      <c r="E16" s="30"/>
    </row>
    <row r="17" spans="2:6" x14ac:dyDescent="0.3">
      <c r="B17" s="20">
        <f t="shared" si="0"/>
        <v>14</v>
      </c>
      <c r="C17" s="20" t="s">
        <v>68</v>
      </c>
      <c r="D17" s="15" t="s">
        <v>34</v>
      </c>
      <c r="E17" s="30"/>
    </row>
    <row r="18" spans="2:6" x14ac:dyDescent="0.3">
      <c r="B18" s="20">
        <f t="shared" si="0"/>
        <v>15</v>
      </c>
      <c r="C18" s="20" t="s">
        <v>68</v>
      </c>
      <c r="D18" s="15" t="s">
        <v>34</v>
      </c>
      <c r="E18" s="30"/>
    </row>
    <row r="19" spans="2:6" ht="33" x14ac:dyDescent="0.3">
      <c r="B19" s="20">
        <f t="shared" si="0"/>
        <v>16</v>
      </c>
      <c r="C19" s="20" t="s">
        <v>72</v>
      </c>
      <c r="D19" s="21" t="s">
        <v>74</v>
      </c>
      <c r="E19" s="30" t="s">
        <v>71</v>
      </c>
    </row>
    <row r="20" spans="2:6" ht="33" x14ac:dyDescent="0.3">
      <c r="B20" s="20">
        <f t="shared" si="0"/>
        <v>17</v>
      </c>
      <c r="C20" s="20" t="s">
        <v>73</v>
      </c>
      <c r="D20" s="21" t="s">
        <v>75</v>
      </c>
      <c r="E20" s="30"/>
    </row>
    <row r="21" spans="2:6" x14ac:dyDescent="0.3">
      <c r="B21" s="20">
        <f t="shared" si="0"/>
        <v>18</v>
      </c>
      <c r="C21" s="20" t="s">
        <v>92</v>
      </c>
      <c r="D21" s="20" t="s">
        <v>77</v>
      </c>
      <c r="E21" s="30"/>
    </row>
    <row r="22" spans="2:6" x14ac:dyDescent="0.3">
      <c r="B22" s="20">
        <f t="shared" si="0"/>
        <v>19</v>
      </c>
      <c r="C22" s="20" t="s">
        <v>78</v>
      </c>
      <c r="D22" s="20" t="s">
        <v>81</v>
      </c>
      <c r="E22" s="30"/>
    </row>
    <row r="23" spans="2:6" x14ac:dyDescent="0.3">
      <c r="B23" s="20">
        <f t="shared" si="0"/>
        <v>20</v>
      </c>
      <c r="C23" s="20" t="s">
        <v>79</v>
      </c>
      <c r="D23" s="20" t="s">
        <v>81</v>
      </c>
      <c r="E23" s="30"/>
    </row>
    <row r="24" spans="2:6" x14ac:dyDescent="0.3">
      <c r="B24" s="20">
        <f t="shared" si="0"/>
        <v>21</v>
      </c>
      <c r="C24" s="20" t="s">
        <v>150</v>
      </c>
      <c r="D24" s="20" t="s">
        <v>80</v>
      </c>
      <c r="E24" s="30"/>
    </row>
    <row r="25" spans="2:6" x14ac:dyDescent="0.3">
      <c r="B25" s="20">
        <f t="shared" si="0"/>
        <v>22</v>
      </c>
      <c r="C25" s="20" t="s">
        <v>151</v>
      </c>
      <c r="D25" s="15" t="s">
        <v>34</v>
      </c>
      <c r="E25" s="30"/>
    </row>
    <row r="26" spans="2:6" x14ac:dyDescent="0.3">
      <c r="B26" s="20">
        <f t="shared" si="0"/>
        <v>23</v>
      </c>
      <c r="C26" s="20" t="s">
        <v>68</v>
      </c>
      <c r="D26" s="15" t="s">
        <v>34</v>
      </c>
      <c r="E26" s="30"/>
    </row>
    <row r="27" spans="2:6" x14ac:dyDescent="0.3">
      <c r="B27" s="20">
        <f t="shared" si="0"/>
        <v>24</v>
      </c>
      <c r="C27" s="20" t="s">
        <v>68</v>
      </c>
      <c r="D27" s="15" t="s">
        <v>34</v>
      </c>
      <c r="E27" s="30"/>
    </row>
    <row r="28" spans="2:6" x14ac:dyDescent="0.3">
      <c r="B28" s="20">
        <f t="shared" si="0"/>
        <v>25</v>
      </c>
      <c r="C28" s="20" t="s">
        <v>68</v>
      </c>
      <c r="D28" s="15" t="s">
        <v>34</v>
      </c>
      <c r="E28" s="30"/>
    </row>
    <row r="29" spans="2:6" x14ac:dyDescent="0.3">
      <c r="B29" s="20">
        <f t="shared" si="0"/>
        <v>26</v>
      </c>
      <c r="C29" s="20" t="s">
        <v>68</v>
      </c>
      <c r="D29" s="15" t="s">
        <v>34</v>
      </c>
      <c r="E29" s="30"/>
    </row>
    <row r="30" spans="2:6" ht="33" x14ac:dyDescent="0.3">
      <c r="B30" s="20">
        <f t="shared" si="0"/>
        <v>27</v>
      </c>
      <c r="C30" s="20" t="s">
        <v>50</v>
      </c>
      <c r="D30" s="21" t="s">
        <v>141</v>
      </c>
      <c r="E30" s="31" t="s">
        <v>90</v>
      </c>
    </row>
    <row r="31" spans="2:6" x14ac:dyDescent="0.3">
      <c r="B31" s="20">
        <f t="shared" si="0"/>
        <v>28</v>
      </c>
      <c r="C31" s="20" t="s">
        <v>91</v>
      </c>
      <c r="D31" s="20" t="s">
        <v>77</v>
      </c>
      <c r="E31" s="42"/>
      <c r="F31" t="s">
        <v>93</v>
      </c>
    </row>
    <row r="32" spans="2:6" x14ac:dyDescent="0.3">
      <c r="B32" s="20">
        <f t="shared" si="0"/>
        <v>29</v>
      </c>
      <c r="C32" s="20" t="s">
        <v>95</v>
      </c>
      <c r="D32" s="20" t="s">
        <v>84</v>
      </c>
      <c r="E32" s="42"/>
    </row>
    <row r="33" spans="2:5" x14ac:dyDescent="0.3">
      <c r="B33" s="20">
        <f t="shared" si="0"/>
        <v>30</v>
      </c>
      <c r="C33" s="20" t="s">
        <v>96</v>
      </c>
      <c r="D33" s="20" t="s">
        <v>84</v>
      </c>
      <c r="E33" s="42"/>
    </row>
    <row r="34" spans="2:5" x14ac:dyDescent="0.3">
      <c r="B34" s="20">
        <f t="shared" si="0"/>
        <v>31</v>
      </c>
      <c r="C34" s="20" t="s">
        <v>97</v>
      </c>
      <c r="D34" s="20" t="s">
        <v>94</v>
      </c>
      <c r="E34" s="42"/>
    </row>
    <row r="35" spans="2:5" x14ac:dyDescent="0.3">
      <c r="B35" s="20">
        <f t="shared" si="0"/>
        <v>32</v>
      </c>
      <c r="C35" s="20" t="s">
        <v>98</v>
      </c>
      <c r="D35" s="20" t="s">
        <v>94</v>
      </c>
      <c r="E35" s="42"/>
    </row>
    <row r="36" spans="2:5" ht="33" x14ac:dyDescent="0.3">
      <c r="B36" s="20">
        <f t="shared" si="0"/>
        <v>33</v>
      </c>
      <c r="C36" s="20" t="s">
        <v>16</v>
      </c>
      <c r="D36" s="21" t="s">
        <v>144</v>
      </c>
      <c r="E36" s="42"/>
    </row>
    <row r="37" spans="2:5" x14ac:dyDescent="0.3">
      <c r="B37" s="20">
        <f t="shared" si="0"/>
        <v>34</v>
      </c>
      <c r="C37" s="20" t="s">
        <v>17</v>
      </c>
      <c r="D37" s="20" t="s">
        <v>99</v>
      </c>
      <c r="E37" s="42"/>
    </row>
    <row r="38" spans="2:5" ht="49.5" x14ac:dyDescent="0.3">
      <c r="B38" s="20">
        <f t="shared" si="0"/>
        <v>35</v>
      </c>
      <c r="C38" s="20" t="s">
        <v>158</v>
      </c>
      <c r="D38" s="17" t="s">
        <v>137</v>
      </c>
      <c r="E38" s="42"/>
    </row>
    <row r="39" spans="2:5" ht="33" x14ac:dyDescent="0.3">
      <c r="B39" s="20">
        <f t="shared" si="0"/>
        <v>36</v>
      </c>
      <c r="C39" s="20" t="s">
        <v>142</v>
      </c>
      <c r="D39" s="17" t="s">
        <v>143</v>
      </c>
      <c r="E39" s="42"/>
    </row>
    <row r="40" spans="2:5" x14ac:dyDescent="0.3">
      <c r="B40" s="20">
        <f t="shared" si="0"/>
        <v>37</v>
      </c>
      <c r="C40" s="20" t="s">
        <v>68</v>
      </c>
      <c r="D40" s="15" t="s">
        <v>34</v>
      </c>
      <c r="E40" s="42"/>
    </row>
    <row r="41" spans="2:5" x14ac:dyDescent="0.3">
      <c r="B41" s="20">
        <f t="shared" si="0"/>
        <v>38</v>
      </c>
      <c r="C41" s="20" t="s">
        <v>68</v>
      </c>
      <c r="D41" s="15" t="s">
        <v>34</v>
      </c>
      <c r="E41" s="42"/>
    </row>
    <row r="42" spans="2:5" ht="33" x14ac:dyDescent="0.3">
      <c r="B42" s="20">
        <f t="shared" si="0"/>
        <v>39</v>
      </c>
      <c r="C42" s="20" t="s">
        <v>155</v>
      </c>
      <c r="D42" s="17" t="s">
        <v>131</v>
      </c>
      <c r="E42" s="42"/>
    </row>
    <row r="43" spans="2:5" ht="33" x14ac:dyDescent="0.3">
      <c r="B43" s="20">
        <f t="shared" si="0"/>
        <v>40</v>
      </c>
      <c r="C43" s="20" t="s">
        <v>156</v>
      </c>
      <c r="D43" s="17" t="s">
        <v>131</v>
      </c>
      <c r="E43" s="42"/>
    </row>
    <row r="44" spans="2:5" x14ac:dyDescent="0.3">
      <c r="B44" s="20">
        <f t="shared" si="0"/>
        <v>41</v>
      </c>
      <c r="C44" s="20" t="s">
        <v>68</v>
      </c>
      <c r="D44" s="15" t="s">
        <v>34</v>
      </c>
      <c r="E44" s="42"/>
    </row>
    <row r="45" spans="2:5" x14ac:dyDescent="0.3">
      <c r="B45" s="20">
        <f t="shared" si="0"/>
        <v>42</v>
      </c>
      <c r="C45" s="20" t="s">
        <v>68</v>
      </c>
      <c r="D45" s="15" t="s">
        <v>34</v>
      </c>
      <c r="E45" s="42"/>
    </row>
    <row r="46" spans="2:5" x14ac:dyDescent="0.3">
      <c r="B46" s="20">
        <f t="shared" si="0"/>
        <v>43</v>
      </c>
      <c r="C46" s="20" t="s">
        <v>68</v>
      </c>
      <c r="D46" s="15" t="s">
        <v>34</v>
      </c>
      <c r="E46" s="42"/>
    </row>
    <row r="47" spans="2:5" x14ac:dyDescent="0.3">
      <c r="B47" s="20">
        <f t="shared" si="0"/>
        <v>44</v>
      </c>
      <c r="C47" s="20" t="s">
        <v>68</v>
      </c>
      <c r="D47" s="15" t="s">
        <v>34</v>
      </c>
      <c r="E47" s="42"/>
    </row>
    <row r="48" spans="2:5" x14ac:dyDescent="0.3">
      <c r="B48" s="20">
        <f t="shared" si="0"/>
        <v>45</v>
      </c>
      <c r="C48" s="20" t="s">
        <v>68</v>
      </c>
      <c r="D48" s="15" t="s">
        <v>34</v>
      </c>
      <c r="E48" s="42"/>
    </row>
    <row r="49" spans="2:5" x14ac:dyDescent="0.3">
      <c r="B49" s="20">
        <f t="shared" si="0"/>
        <v>46</v>
      </c>
      <c r="C49" s="20" t="s">
        <v>68</v>
      </c>
      <c r="D49" s="15" t="s">
        <v>34</v>
      </c>
      <c r="E49" s="32"/>
    </row>
    <row r="50" spans="2:5" x14ac:dyDescent="0.3">
      <c r="B50" s="20">
        <f t="shared" si="0"/>
        <v>47</v>
      </c>
      <c r="C50" s="20" t="s">
        <v>101</v>
      </c>
      <c r="D50" s="20"/>
      <c r="E50" s="30" t="s">
        <v>100</v>
      </c>
    </row>
    <row r="51" spans="2:5" x14ac:dyDescent="0.3">
      <c r="B51" s="20">
        <f t="shared" si="0"/>
        <v>48</v>
      </c>
      <c r="C51" s="20" t="s">
        <v>102</v>
      </c>
      <c r="D51" s="20" t="s">
        <v>77</v>
      </c>
      <c r="E51" s="30"/>
    </row>
    <row r="52" spans="2:5" x14ac:dyDescent="0.3">
      <c r="B52" s="20">
        <f t="shared" si="0"/>
        <v>49</v>
      </c>
      <c r="C52" s="20" t="s">
        <v>103</v>
      </c>
      <c r="D52" s="20" t="s">
        <v>81</v>
      </c>
      <c r="E52" s="30"/>
    </row>
    <row r="53" spans="2:5" x14ac:dyDescent="0.3">
      <c r="B53" s="20">
        <f t="shared" si="0"/>
        <v>50</v>
      </c>
      <c r="C53" s="20" t="s">
        <v>104</v>
      </c>
      <c r="D53" s="20" t="s">
        <v>81</v>
      </c>
      <c r="E53" s="30"/>
    </row>
    <row r="54" spans="2:5" ht="49.5" x14ac:dyDescent="0.3">
      <c r="B54" s="20">
        <f t="shared" si="0"/>
        <v>51</v>
      </c>
      <c r="C54" s="20" t="s">
        <v>105</v>
      </c>
      <c r="D54" s="17" t="s">
        <v>137</v>
      </c>
      <c r="E54" s="30"/>
    </row>
    <row r="55" spans="2:5" x14ac:dyDescent="0.3">
      <c r="B55" s="20">
        <f t="shared" si="0"/>
        <v>52</v>
      </c>
      <c r="C55" s="20" t="s">
        <v>68</v>
      </c>
      <c r="D55" s="15" t="s">
        <v>34</v>
      </c>
      <c r="E55" s="30"/>
    </row>
    <row r="56" spans="2:5" x14ac:dyDescent="0.3">
      <c r="B56" s="20">
        <f t="shared" si="0"/>
        <v>53</v>
      </c>
      <c r="C56" s="20" t="s">
        <v>68</v>
      </c>
      <c r="D56" s="15" t="s">
        <v>34</v>
      </c>
      <c r="E56" s="30"/>
    </row>
    <row r="57" spans="2:5" x14ac:dyDescent="0.3">
      <c r="B57" s="20">
        <f t="shared" si="0"/>
        <v>54</v>
      </c>
      <c r="C57" s="20" t="s">
        <v>68</v>
      </c>
      <c r="D57" s="15" t="s">
        <v>34</v>
      </c>
      <c r="E57" s="30"/>
    </row>
    <row r="58" spans="2:5" x14ac:dyDescent="0.3">
      <c r="B58" s="20">
        <f t="shared" si="0"/>
        <v>55</v>
      </c>
      <c r="C58" s="20" t="s">
        <v>68</v>
      </c>
      <c r="D58" s="15" t="s">
        <v>34</v>
      </c>
      <c r="E58" s="30"/>
    </row>
    <row r="59" spans="2:5" x14ac:dyDescent="0.3">
      <c r="B59" s="20">
        <f t="shared" si="0"/>
        <v>56</v>
      </c>
      <c r="C59" s="20" t="s">
        <v>68</v>
      </c>
      <c r="D59" s="15" t="s">
        <v>34</v>
      </c>
      <c r="E59" s="30"/>
    </row>
    <row r="60" spans="2:5" x14ac:dyDescent="0.3">
      <c r="B60" s="20">
        <f t="shared" si="0"/>
        <v>57</v>
      </c>
      <c r="C60" s="20" t="s">
        <v>68</v>
      </c>
      <c r="D60" s="15" t="s">
        <v>34</v>
      </c>
      <c r="E60" s="30"/>
    </row>
    <row r="61" spans="2:5" x14ac:dyDescent="0.3">
      <c r="B61" s="20">
        <f t="shared" si="0"/>
        <v>58</v>
      </c>
      <c r="C61" s="20" t="s">
        <v>68</v>
      </c>
      <c r="D61" s="15" t="s">
        <v>34</v>
      </c>
      <c r="E61" s="30"/>
    </row>
    <row r="62" spans="2:5" x14ac:dyDescent="0.3">
      <c r="B62" s="20">
        <f t="shared" si="0"/>
        <v>59</v>
      </c>
      <c r="C62" s="20" t="s">
        <v>68</v>
      </c>
      <c r="D62" s="15" t="s">
        <v>34</v>
      </c>
      <c r="E62" s="30"/>
    </row>
    <row r="63" spans="2:5" x14ac:dyDescent="0.3">
      <c r="B63" s="20">
        <f t="shared" si="0"/>
        <v>60</v>
      </c>
      <c r="C63" s="20" t="s">
        <v>68</v>
      </c>
      <c r="D63" s="15" t="s">
        <v>34</v>
      </c>
      <c r="E63" s="30"/>
    </row>
    <row r="64" spans="2:5" x14ac:dyDescent="0.3">
      <c r="B64" s="20">
        <f t="shared" si="0"/>
        <v>61</v>
      </c>
      <c r="C64" s="20" t="s">
        <v>68</v>
      </c>
      <c r="D64" s="15" t="s">
        <v>34</v>
      </c>
      <c r="E64" s="30"/>
    </row>
    <row r="65" spans="2:5" ht="33" x14ac:dyDescent="0.3">
      <c r="B65" s="20">
        <f t="shared" si="0"/>
        <v>62</v>
      </c>
      <c r="C65" s="20" t="s">
        <v>130</v>
      </c>
      <c r="D65" s="21" t="s">
        <v>131</v>
      </c>
      <c r="E65" s="28" t="s">
        <v>136</v>
      </c>
    </row>
    <row r="66" spans="2:5" ht="33" x14ac:dyDescent="0.3">
      <c r="B66" s="20">
        <f t="shared" si="0"/>
        <v>63</v>
      </c>
      <c r="C66" s="20" t="s">
        <v>132</v>
      </c>
      <c r="D66" s="21" t="s">
        <v>131</v>
      </c>
      <c r="E66" s="28"/>
    </row>
    <row r="67" spans="2:5" ht="82.5" x14ac:dyDescent="0.3">
      <c r="B67" s="20">
        <f t="shared" si="0"/>
        <v>64</v>
      </c>
      <c r="C67" s="20" t="s">
        <v>133</v>
      </c>
      <c r="D67" s="21" t="s">
        <v>134</v>
      </c>
      <c r="E67" s="28"/>
    </row>
    <row r="68" spans="2:5" ht="33" x14ac:dyDescent="0.3">
      <c r="B68" s="20">
        <f t="shared" si="0"/>
        <v>65</v>
      </c>
      <c r="C68" s="20" t="s">
        <v>135</v>
      </c>
      <c r="D68" s="21" t="s">
        <v>83</v>
      </c>
      <c r="E68" s="28"/>
    </row>
    <row r="69" spans="2:5" x14ac:dyDescent="0.3">
      <c r="B69" s="20">
        <f t="shared" si="0"/>
        <v>66</v>
      </c>
      <c r="C69" s="20" t="s">
        <v>68</v>
      </c>
      <c r="D69" s="15" t="s">
        <v>34</v>
      </c>
      <c r="E69" s="28"/>
    </row>
    <row r="70" spans="2:5" x14ac:dyDescent="0.3">
      <c r="B70" s="20">
        <f t="shared" ref="B70:B79" si="1">B69+1</f>
        <v>67</v>
      </c>
      <c r="C70" s="20" t="s">
        <v>68</v>
      </c>
      <c r="D70" s="15" t="s">
        <v>34</v>
      </c>
      <c r="E70" s="28"/>
    </row>
    <row r="71" spans="2:5" x14ac:dyDescent="0.3">
      <c r="B71" s="20">
        <f t="shared" si="1"/>
        <v>68</v>
      </c>
      <c r="C71" s="20" t="s">
        <v>68</v>
      </c>
      <c r="D71" s="15" t="s">
        <v>34</v>
      </c>
      <c r="E71" s="28"/>
    </row>
    <row r="72" spans="2:5" x14ac:dyDescent="0.3">
      <c r="B72" s="20">
        <f t="shared" si="1"/>
        <v>69</v>
      </c>
      <c r="C72" s="20" t="s">
        <v>68</v>
      </c>
      <c r="D72" s="15" t="s">
        <v>34</v>
      </c>
      <c r="E72" s="28"/>
    </row>
    <row r="73" spans="2:5" x14ac:dyDescent="0.3">
      <c r="B73" s="20">
        <f t="shared" si="1"/>
        <v>70</v>
      </c>
      <c r="C73" s="20" t="s">
        <v>68</v>
      </c>
      <c r="D73" s="15" t="s">
        <v>34</v>
      </c>
      <c r="E73" s="28"/>
    </row>
    <row r="74" spans="2:5" ht="33" x14ac:dyDescent="0.3">
      <c r="B74" s="20">
        <f t="shared" si="1"/>
        <v>71</v>
      </c>
      <c r="C74" s="20" t="s">
        <v>139</v>
      </c>
      <c r="D74" s="21" t="s">
        <v>140</v>
      </c>
      <c r="E74" s="20" t="s">
        <v>138</v>
      </c>
    </row>
    <row r="75" spans="2:5" x14ac:dyDescent="0.3">
      <c r="B75" s="20">
        <f t="shared" si="1"/>
        <v>72</v>
      </c>
      <c r="C75" s="20" t="s">
        <v>68</v>
      </c>
      <c r="D75" s="20"/>
      <c r="E75" s="14"/>
    </row>
    <row r="76" spans="2:5" x14ac:dyDescent="0.3">
      <c r="B76" s="20">
        <f t="shared" si="1"/>
        <v>73</v>
      </c>
      <c r="C76" s="20" t="s">
        <v>68</v>
      </c>
      <c r="D76" s="20"/>
      <c r="E76" s="14"/>
    </row>
    <row r="77" spans="2:5" x14ac:dyDescent="0.3">
      <c r="B77" s="20">
        <f t="shared" si="1"/>
        <v>74</v>
      </c>
      <c r="C77" s="20" t="s">
        <v>68</v>
      </c>
      <c r="D77" s="20"/>
      <c r="E77" s="14"/>
    </row>
    <row r="78" spans="2:5" x14ac:dyDescent="0.3">
      <c r="B78" s="20">
        <f t="shared" si="1"/>
        <v>75</v>
      </c>
      <c r="C78" s="20" t="s">
        <v>68</v>
      </c>
      <c r="D78" s="20"/>
      <c r="E78" s="14"/>
    </row>
    <row r="79" spans="2:5" x14ac:dyDescent="0.3">
      <c r="B79" s="20">
        <f t="shared" si="1"/>
        <v>76</v>
      </c>
      <c r="C79" s="20" t="s">
        <v>68</v>
      </c>
      <c r="D79" s="20"/>
      <c r="E79" s="14"/>
    </row>
    <row r="1048575" spans="4:4" x14ac:dyDescent="0.3">
      <c r="D1048575" s="17"/>
    </row>
  </sheetData>
  <mergeCells count="7">
    <mergeCell ref="E50:E64"/>
    <mergeCell ref="E65:E73"/>
    <mergeCell ref="C2:E2"/>
    <mergeCell ref="B3:C3"/>
    <mergeCell ref="E4:E18"/>
    <mergeCell ref="E19:E29"/>
    <mergeCell ref="E30:E49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9F200-F954-4080-BB24-764BF518F588}">
  <dimension ref="B1:F1048576"/>
  <sheetViews>
    <sheetView showGridLines="0" workbookViewId="0">
      <selection activeCell="G11" sqref="G11"/>
    </sheetView>
  </sheetViews>
  <sheetFormatPr defaultRowHeight="16.5" x14ac:dyDescent="0.3"/>
  <cols>
    <col min="1" max="1" width="1.625" customWidth="1"/>
    <col min="2" max="2" width="9" style="1" customWidth="1"/>
    <col min="3" max="3" width="23" style="1" bestFit="1" customWidth="1"/>
    <col min="4" max="4" width="16.625" style="1" customWidth="1"/>
    <col min="5" max="5" width="11.625" bestFit="1" customWidth="1"/>
  </cols>
  <sheetData>
    <row r="1" spans="2:5" ht="14.25" customHeight="1" thickBot="1" x14ac:dyDescent="0.35">
      <c r="B1"/>
      <c r="C1"/>
      <c r="D1"/>
    </row>
    <row r="2" spans="2:5" x14ac:dyDescent="0.3">
      <c r="B2" s="16" t="s">
        <v>2</v>
      </c>
      <c r="C2" s="37" t="s">
        <v>153</v>
      </c>
      <c r="D2" s="38"/>
      <c r="E2" s="39"/>
    </row>
    <row r="3" spans="2:5" x14ac:dyDescent="0.3">
      <c r="B3" s="40" t="s">
        <v>61</v>
      </c>
      <c r="C3" s="41"/>
      <c r="D3" s="22" t="s">
        <v>76</v>
      </c>
      <c r="E3" s="19" t="s">
        <v>69</v>
      </c>
    </row>
    <row r="4" spans="2:5" x14ac:dyDescent="0.3">
      <c r="B4" s="20"/>
      <c r="C4" s="21"/>
      <c r="D4" s="21"/>
      <c r="E4" s="30"/>
    </row>
    <row r="5" spans="2:5" x14ac:dyDescent="0.3">
      <c r="B5" s="20"/>
      <c r="C5" s="21"/>
      <c r="D5" s="21"/>
      <c r="E5" s="30"/>
    </row>
    <row r="6" spans="2:5" x14ac:dyDescent="0.3">
      <c r="B6" s="20"/>
      <c r="C6" s="20"/>
      <c r="D6" s="21"/>
      <c r="E6" s="30"/>
    </row>
    <row r="7" spans="2:5" x14ac:dyDescent="0.3">
      <c r="B7" s="20"/>
      <c r="C7" s="20"/>
      <c r="D7" s="20"/>
      <c r="E7" s="30"/>
    </row>
    <row r="8" spans="2:5" x14ac:dyDescent="0.3">
      <c r="B8" s="20"/>
      <c r="C8" s="20"/>
      <c r="D8" s="20"/>
      <c r="E8" s="30"/>
    </row>
    <row r="9" spans="2:5" x14ac:dyDescent="0.3">
      <c r="B9" s="20"/>
      <c r="C9" s="20"/>
      <c r="D9" s="20"/>
      <c r="E9" s="30"/>
    </row>
    <row r="10" spans="2:5" x14ac:dyDescent="0.3">
      <c r="B10" s="20"/>
      <c r="C10" s="20"/>
      <c r="D10" s="20"/>
      <c r="E10" s="30"/>
    </row>
    <row r="11" spans="2:5" x14ac:dyDescent="0.3">
      <c r="B11" s="20"/>
      <c r="C11" s="20"/>
      <c r="D11" s="21"/>
      <c r="E11" s="30"/>
    </row>
    <row r="12" spans="2:5" x14ac:dyDescent="0.3">
      <c r="B12" s="20"/>
      <c r="C12" s="20"/>
      <c r="D12" s="21"/>
      <c r="E12" s="30"/>
    </row>
    <row r="13" spans="2:5" x14ac:dyDescent="0.3">
      <c r="B13" s="20"/>
      <c r="C13" s="20"/>
      <c r="D13" s="15"/>
      <c r="E13" s="30"/>
    </row>
    <row r="14" spans="2:5" x14ac:dyDescent="0.3">
      <c r="B14" s="20"/>
      <c r="C14" s="20"/>
      <c r="D14" s="15"/>
      <c r="E14" s="30"/>
    </row>
    <row r="15" spans="2:5" x14ac:dyDescent="0.3">
      <c r="B15" s="20"/>
      <c r="C15" s="20"/>
      <c r="D15" s="15"/>
      <c r="E15" s="30"/>
    </row>
    <row r="16" spans="2:5" x14ac:dyDescent="0.3">
      <c r="B16" s="20"/>
      <c r="C16" s="20"/>
      <c r="D16" s="15"/>
      <c r="E16" s="30"/>
    </row>
    <row r="17" spans="2:6" x14ac:dyDescent="0.3">
      <c r="B17" s="20"/>
      <c r="C17" s="20"/>
      <c r="D17" s="15"/>
      <c r="E17" s="30"/>
    </row>
    <row r="18" spans="2:6" x14ac:dyDescent="0.3">
      <c r="B18" s="20"/>
      <c r="C18" s="20"/>
      <c r="D18" s="15"/>
      <c r="E18" s="30"/>
    </row>
    <row r="19" spans="2:6" x14ac:dyDescent="0.3">
      <c r="B19" s="20"/>
      <c r="C19" s="20"/>
      <c r="D19" s="21"/>
      <c r="E19" s="30"/>
    </row>
    <row r="20" spans="2:6" x14ac:dyDescent="0.3">
      <c r="B20" s="20"/>
      <c r="C20" s="20"/>
      <c r="D20" s="21"/>
      <c r="E20" s="30"/>
    </row>
    <row r="21" spans="2:6" x14ac:dyDescent="0.3">
      <c r="B21" s="20"/>
      <c r="C21" s="20"/>
      <c r="D21" s="20"/>
      <c r="E21" s="30"/>
    </row>
    <row r="22" spans="2:6" x14ac:dyDescent="0.3">
      <c r="B22" s="20"/>
      <c r="C22" s="20"/>
      <c r="D22" s="20"/>
      <c r="E22" s="30"/>
    </row>
    <row r="23" spans="2:6" x14ac:dyDescent="0.3">
      <c r="B23" s="20"/>
      <c r="C23" s="20"/>
      <c r="D23" s="20"/>
      <c r="E23" s="30"/>
    </row>
    <row r="24" spans="2:6" x14ac:dyDescent="0.3">
      <c r="B24" s="20"/>
      <c r="C24" s="20"/>
      <c r="D24" s="20"/>
      <c r="E24" s="30"/>
    </row>
    <row r="25" spans="2:6" x14ac:dyDescent="0.3">
      <c r="B25" s="20"/>
      <c r="C25" s="20"/>
      <c r="D25" s="15"/>
      <c r="E25" s="30"/>
    </row>
    <row r="26" spans="2:6" x14ac:dyDescent="0.3">
      <c r="B26" s="20"/>
      <c r="C26" s="20"/>
      <c r="D26" s="15"/>
      <c r="E26" s="30"/>
    </row>
    <row r="27" spans="2:6" x14ac:dyDescent="0.3">
      <c r="B27" s="20"/>
      <c r="C27" s="20"/>
      <c r="D27" s="15"/>
      <c r="E27" s="30"/>
    </row>
    <row r="28" spans="2:6" x14ac:dyDescent="0.3">
      <c r="B28" s="20"/>
      <c r="C28" s="20"/>
      <c r="D28" s="15"/>
      <c r="E28" s="30"/>
    </row>
    <row r="29" spans="2:6" x14ac:dyDescent="0.3">
      <c r="B29" s="20"/>
      <c r="C29" s="20"/>
      <c r="D29" s="15"/>
      <c r="E29" s="30"/>
    </row>
    <row r="30" spans="2:6" x14ac:dyDescent="0.3">
      <c r="B30" s="20"/>
      <c r="C30" s="20"/>
      <c r="D30" s="21"/>
      <c r="E30" s="31"/>
    </row>
    <row r="31" spans="2:6" x14ac:dyDescent="0.3">
      <c r="B31" s="20"/>
      <c r="C31" s="20"/>
      <c r="D31" s="20"/>
      <c r="E31" s="42"/>
      <c r="F31" t="s">
        <v>93</v>
      </c>
    </row>
    <row r="32" spans="2:6" x14ac:dyDescent="0.3">
      <c r="B32" s="20"/>
      <c r="C32" s="20"/>
      <c r="D32" s="20"/>
      <c r="E32" s="42"/>
    </row>
    <row r="33" spans="2:5" x14ac:dyDescent="0.3">
      <c r="B33" s="20"/>
      <c r="C33" s="20"/>
      <c r="D33" s="20"/>
      <c r="E33" s="42"/>
    </row>
    <row r="34" spans="2:5" x14ac:dyDescent="0.3">
      <c r="B34" s="20"/>
      <c r="C34" s="20"/>
      <c r="D34" s="20"/>
      <c r="E34" s="42"/>
    </row>
    <row r="35" spans="2:5" x14ac:dyDescent="0.3">
      <c r="B35" s="20"/>
      <c r="C35" s="20"/>
      <c r="D35" s="20"/>
      <c r="E35" s="42"/>
    </row>
    <row r="36" spans="2:5" x14ac:dyDescent="0.3">
      <c r="B36" s="20"/>
      <c r="C36" s="20"/>
      <c r="D36" s="21"/>
      <c r="E36" s="42"/>
    </row>
    <row r="37" spans="2:5" x14ac:dyDescent="0.3">
      <c r="B37" s="20"/>
      <c r="C37" s="20"/>
      <c r="D37" s="20"/>
      <c r="E37" s="42"/>
    </row>
    <row r="38" spans="2:5" x14ac:dyDescent="0.3">
      <c r="B38" s="20"/>
      <c r="C38" s="20"/>
      <c r="D38" s="17"/>
      <c r="E38" s="42"/>
    </row>
    <row r="39" spans="2:5" x14ac:dyDescent="0.3">
      <c r="B39" s="20"/>
      <c r="C39" s="20"/>
      <c r="D39" s="17"/>
      <c r="E39" s="42"/>
    </row>
    <row r="40" spans="2:5" x14ac:dyDescent="0.3">
      <c r="B40" s="20"/>
      <c r="C40" s="20"/>
      <c r="D40" s="15"/>
      <c r="E40" s="42"/>
    </row>
    <row r="41" spans="2:5" x14ac:dyDescent="0.3">
      <c r="B41" s="20"/>
      <c r="C41" s="20"/>
      <c r="D41" s="15"/>
      <c r="E41" s="42"/>
    </row>
    <row r="42" spans="2:5" x14ac:dyDescent="0.3">
      <c r="B42" s="20"/>
      <c r="C42" s="20"/>
      <c r="D42" s="17"/>
      <c r="E42" s="42"/>
    </row>
    <row r="43" spans="2:5" x14ac:dyDescent="0.3">
      <c r="B43" s="20"/>
      <c r="C43" s="20"/>
      <c r="D43" s="17"/>
      <c r="E43" s="42"/>
    </row>
    <row r="44" spans="2:5" x14ac:dyDescent="0.3">
      <c r="B44" s="20"/>
      <c r="C44" s="20"/>
      <c r="D44" s="15"/>
      <c r="E44" s="42"/>
    </row>
    <row r="45" spans="2:5" x14ac:dyDescent="0.3">
      <c r="B45" s="20"/>
      <c r="C45" s="20"/>
      <c r="D45" s="15"/>
      <c r="E45" s="42"/>
    </row>
    <row r="46" spans="2:5" x14ac:dyDescent="0.3">
      <c r="B46" s="20"/>
      <c r="C46" s="20"/>
      <c r="D46" s="15"/>
      <c r="E46" s="42"/>
    </row>
    <row r="47" spans="2:5" x14ac:dyDescent="0.3">
      <c r="B47" s="20"/>
      <c r="C47" s="20"/>
      <c r="D47" s="15"/>
      <c r="E47" s="42"/>
    </row>
    <row r="48" spans="2:5" x14ac:dyDescent="0.3">
      <c r="B48" s="20"/>
      <c r="C48" s="20"/>
      <c r="D48" s="15"/>
      <c r="E48" s="42"/>
    </row>
    <row r="49" spans="2:5" x14ac:dyDescent="0.3">
      <c r="B49" s="20"/>
      <c r="C49" s="20"/>
      <c r="D49" s="15"/>
      <c r="E49" s="32"/>
    </row>
    <row r="50" spans="2:5" x14ac:dyDescent="0.3">
      <c r="B50" s="20"/>
      <c r="C50" s="20"/>
      <c r="D50" s="20"/>
      <c r="E50" s="30"/>
    </row>
    <row r="51" spans="2:5" x14ac:dyDescent="0.3">
      <c r="B51" s="20"/>
      <c r="C51" s="20"/>
      <c r="D51" s="20"/>
      <c r="E51" s="30"/>
    </row>
    <row r="52" spans="2:5" x14ac:dyDescent="0.3">
      <c r="B52" s="20"/>
      <c r="C52" s="20"/>
      <c r="D52" s="20"/>
      <c r="E52" s="30"/>
    </row>
    <row r="53" spans="2:5" x14ac:dyDescent="0.3">
      <c r="B53" s="20"/>
      <c r="C53" s="20"/>
      <c r="D53" s="20"/>
      <c r="E53" s="30"/>
    </row>
    <row r="54" spans="2:5" x14ac:dyDescent="0.3">
      <c r="B54" s="20"/>
      <c r="C54" s="20"/>
      <c r="D54" s="17"/>
      <c r="E54" s="30"/>
    </row>
    <row r="55" spans="2:5" x14ac:dyDescent="0.3">
      <c r="B55" s="20"/>
      <c r="C55" s="20"/>
      <c r="D55" s="15"/>
      <c r="E55" s="30"/>
    </row>
    <row r="56" spans="2:5" x14ac:dyDescent="0.3">
      <c r="B56" s="20"/>
      <c r="C56" s="20"/>
      <c r="D56" s="15"/>
      <c r="E56" s="30"/>
    </row>
    <row r="57" spans="2:5" x14ac:dyDescent="0.3">
      <c r="B57" s="20"/>
      <c r="C57" s="20"/>
      <c r="D57" s="15"/>
      <c r="E57" s="30"/>
    </row>
    <row r="58" spans="2:5" x14ac:dyDescent="0.3">
      <c r="B58" s="20"/>
      <c r="C58" s="20"/>
      <c r="D58" s="15"/>
      <c r="E58" s="30"/>
    </row>
    <row r="59" spans="2:5" x14ac:dyDescent="0.3">
      <c r="B59" s="20"/>
      <c r="C59" s="20"/>
      <c r="D59" s="15"/>
      <c r="E59" s="30"/>
    </row>
    <row r="60" spans="2:5" x14ac:dyDescent="0.3">
      <c r="B60" s="20"/>
      <c r="C60" s="20"/>
      <c r="D60" s="15"/>
      <c r="E60" s="30"/>
    </row>
    <row r="61" spans="2:5" x14ac:dyDescent="0.3">
      <c r="B61" s="20"/>
      <c r="C61" s="20"/>
      <c r="D61" s="15"/>
      <c r="E61" s="30"/>
    </row>
    <row r="62" spans="2:5" x14ac:dyDescent="0.3">
      <c r="B62" s="20"/>
      <c r="C62" s="20"/>
      <c r="D62" s="15"/>
      <c r="E62" s="30"/>
    </row>
    <row r="63" spans="2:5" x14ac:dyDescent="0.3">
      <c r="B63" s="20"/>
      <c r="C63" s="20"/>
      <c r="D63" s="15"/>
      <c r="E63" s="30"/>
    </row>
    <row r="64" spans="2:5" x14ac:dyDescent="0.3">
      <c r="B64" s="20"/>
      <c r="C64" s="20"/>
      <c r="D64" s="15"/>
      <c r="E64" s="30"/>
    </row>
    <row r="65" spans="2:5" x14ac:dyDescent="0.3">
      <c r="B65" s="20"/>
      <c r="C65" s="20"/>
      <c r="D65" s="21"/>
      <c r="E65" s="20"/>
    </row>
    <row r="66" spans="2:5" x14ac:dyDescent="0.3">
      <c r="B66" s="20"/>
      <c r="C66" s="20"/>
      <c r="D66" s="20"/>
      <c r="E66" s="14"/>
    </row>
    <row r="67" spans="2:5" x14ac:dyDescent="0.3">
      <c r="B67" s="20"/>
      <c r="C67" s="20"/>
      <c r="D67" s="20"/>
      <c r="E67" s="14"/>
    </row>
    <row r="68" spans="2:5" x14ac:dyDescent="0.3">
      <c r="B68" s="20"/>
      <c r="C68" s="20"/>
      <c r="D68" s="20"/>
      <c r="E68" s="14"/>
    </row>
    <row r="69" spans="2:5" x14ac:dyDescent="0.3">
      <c r="B69" s="20"/>
      <c r="C69" s="20"/>
      <c r="D69" s="20"/>
      <c r="E69" s="14"/>
    </row>
    <row r="70" spans="2:5" x14ac:dyDescent="0.3">
      <c r="B70" s="20"/>
      <c r="C70" s="20"/>
      <c r="D70" s="20"/>
      <c r="E70" s="14"/>
    </row>
    <row r="1048576" spans="4:4" x14ac:dyDescent="0.3">
      <c r="D1048576" s="17"/>
    </row>
  </sheetData>
  <mergeCells count="6">
    <mergeCell ref="E50:E64"/>
    <mergeCell ref="C2:E2"/>
    <mergeCell ref="B3:C3"/>
    <mergeCell ref="E4:E18"/>
    <mergeCell ref="E19:E29"/>
    <mergeCell ref="E30:E4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냉동검토용 프로토콜</vt:lpstr>
      <vt:lpstr>냉동검토용 프로토콜 Revision</vt:lpstr>
      <vt:lpstr>CMD 0xF0 (공통상태조회)</vt:lpstr>
      <vt:lpstr>CMD 0xF1 (냉동상태조회) </vt:lpstr>
      <vt:lpstr>CMD 0xF2 (순간온수상태조회)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박찬흠[Water전장개발팀/팀원]</dc:creator>
  <cp:lastModifiedBy>박찬흠[Water전장개발팀/팀원]</cp:lastModifiedBy>
  <dcterms:created xsi:type="dcterms:W3CDTF">2025-10-16T01:44:37Z</dcterms:created>
  <dcterms:modified xsi:type="dcterms:W3CDTF">2025-11-13T08:27:52Z</dcterms:modified>
</cp:coreProperties>
</file>