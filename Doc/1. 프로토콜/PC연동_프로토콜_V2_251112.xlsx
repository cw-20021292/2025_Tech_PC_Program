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ater\2025\WORKS\2025_Tech_PC_Program\Doc\1. 프로토콜\"/>
    </mc:Choice>
  </mc:AlternateContent>
  <xr:revisionPtr revIDLastSave="0" documentId="13_ncr:1_{754C52AB-61FF-41C6-97A6-F94B3C105DA9}" xr6:coauthVersionLast="47" xr6:coauthVersionMax="47" xr10:uidLastSave="{00000000-0000-0000-0000-000000000000}"/>
  <bookViews>
    <workbookView xWindow="-120" yWindow="-120" windowWidth="29040" windowHeight="15720" activeTab="2" xr2:uid="{E8FC57F0-0C50-400C-865C-77A5DB099951}"/>
  </bookViews>
  <sheets>
    <sheet name="냉동검토용 프로토콜" sheetId="1" r:id="rId1"/>
    <sheet name="냉동검토용 프로토콜 Revision" sheetId="2" r:id="rId2"/>
    <sheet name="CMD 0x0F (상태조회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8" i="3" l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</calcChain>
</file>

<file path=xl/sharedStrings.xml><?xml version="1.0" encoding="utf-8"?>
<sst xmlns="http://schemas.openxmlformats.org/spreadsheetml/2006/main" count="378" uniqueCount="196">
  <si>
    <t>STX</t>
    <phoneticPr fontId="1" type="noConversion"/>
  </si>
  <si>
    <t>ID</t>
    <phoneticPr fontId="1" type="noConversion"/>
  </si>
  <si>
    <t>CMD</t>
    <phoneticPr fontId="1" type="noConversion"/>
  </si>
  <si>
    <t>DATA FIELD</t>
    <phoneticPr fontId="1" type="noConversion"/>
  </si>
  <si>
    <t>….</t>
    <phoneticPr fontId="1" type="noConversion"/>
  </si>
  <si>
    <t>ETX</t>
    <phoneticPr fontId="1" type="noConversion"/>
  </si>
  <si>
    <t>0x02</t>
    <phoneticPr fontId="1" type="noConversion"/>
  </si>
  <si>
    <t>0x03</t>
    <phoneticPr fontId="1" type="noConversion"/>
  </si>
  <si>
    <t>0xA0</t>
    <phoneticPr fontId="1" type="noConversion"/>
  </si>
  <si>
    <t>0xB1</t>
    <phoneticPr fontId="1" type="noConversion"/>
  </si>
  <si>
    <t>0xB2</t>
    <phoneticPr fontId="1" type="noConversion"/>
  </si>
  <si>
    <t>0xA1</t>
    <phoneticPr fontId="1" type="noConversion"/>
  </si>
  <si>
    <t>DATA1</t>
    <phoneticPr fontId="1" type="noConversion"/>
  </si>
  <si>
    <t>DATA2</t>
    <phoneticPr fontId="1" type="noConversion"/>
  </si>
  <si>
    <t>냉각 ON 온도</t>
    <phoneticPr fontId="1" type="noConversion"/>
  </si>
  <si>
    <t>냉각 OFF 온도</t>
    <phoneticPr fontId="1" type="noConversion"/>
  </si>
  <si>
    <t>DATA3</t>
    <phoneticPr fontId="1" type="noConversion"/>
  </si>
  <si>
    <t>DATA LENGTH</t>
    <phoneticPr fontId="1" type="noConversion"/>
  </si>
  <si>
    <t>DATA4</t>
    <phoneticPr fontId="1" type="noConversion"/>
  </si>
  <si>
    <t>부하
출력</t>
    <phoneticPr fontId="1" type="noConversion"/>
  </si>
  <si>
    <t>입력부</t>
    <phoneticPr fontId="1" type="noConversion"/>
  </si>
  <si>
    <t>0xC0</t>
    <phoneticPr fontId="1" type="noConversion"/>
  </si>
  <si>
    <t>테이블 데이터 1</t>
    <phoneticPr fontId="1" type="noConversion"/>
  </si>
  <si>
    <t>냉동</t>
    <phoneticPr fontId="1" type="noConversion"/>
  </si>
  <si>
    <t>추가 시간(ms)</t>
    <phoneticPr fontId="1" type="noConversion"/>
  </si>
  <si>
    <t>DATA7</t>
    <phoneticPr fontId="1" type="noConversion"/>
  </si>
  <si>
    <t>제빙 동작</t>
    <phoneticPr fontId="1" type="noConversion"/>
  </si>
  <si>
    <t>스윙바 ON 시간</t>
    <phoneticPr fontId="1" type="noConversion"/>
  </si>
  <si>
    <t>스윙바 OFF 시간</t>
    <phoneticPr fontId="1" type="noConversion"/>
  </si>
  <si>
    <t>DATA5</t>
    <phoneticPr fontId="1" type="noConversion"/>
  </si>
  <si>
    <t>테이블 데이터 46</t>
    <phoneticPr fontId="1" type="noConversion"/>
  </si>
  <si>
    <t>냉각 동작</t>
    <phoneticPr fontId="1" type="noConversion"/>
  </si>
  <si>
    <t>0xB0</t>
    <phoneticPr fontId="1" type="noConversion"/>
  </si>
  <si>
    <t>0xB3</t>
    <phoneticPr fontId="1" type="noConversion"/>
  </si>
  <si>
    <t>냉각/제빙/핫가스</t>
    <phoneticPr fontId="1" type="noConversion"/>
  </si>
  <si>
    <t>DATA6</t>
    <phoneticPr fontId="1" type="noConversion"/>
  </si>
  <si>
    <t>입수용량 (Hz) 하위 1BYTE</t>
    <phoneticPr fontId="1" type="noConversion"/>
  </si>
  <si>
    <t>입수용량 (Hz) 상위 1BYTE</t>
    <phoneticPr fontId="1" type="noConversion"/>
  </si>
  <si>
    <t>0xB4</t>
    <phoneticPr fontId="1" type="noConversion"/>
  </si>
  <si>
    <t>TARGET RPS</t>
    <phoneticPr fontId="1" type="noConversion"/>
  </si>
  <si>
    <t>TARGET TEMP</t>
    <phoneticPr fontId="1" type="noConversion"/>
  </si>
  <si>
    <t>TARGET TEMP (FIRST)</t>
    <phoneticPr fontId="1" type="noConversion"/>
  </si>
  <si>
    <t>TRAY POSITION</t>
    <phoneticPr fontId="1" type="noConversion"/>
  </si>
  <si>
    <t>CRC HIGH</t>
    <phoneticPr fontId="1" type="noConversion"/>
  </si>
  <si>
    <t>CRC LOW</t>
    <phoneticPr fontId="1" type="noConversion"/>
  </si>
  <si>
    <t>N</t>
    <phoneticPr fontId="1" type="noConversion"/>
  </si>
  <si>
    <t>펌프 1 출력</t>
  </si>
  <si>
    <t>압축기 출력</t>
    <phoneticPr fontId="1" type="noConversion"/>
  </si>
  <si>
    <t>압축기 팬 출력</t>
  </si>
  <si>
    <t>얼음탱크 팬 출력</t>
  </si>
  <si>
    <t>제빙시간(ms) 상위 1B</t>
    <phoneticPr fontId="1" type="noConversion"/>
  </si>
  <si>
    <t>제빙시간(ms) 하위 1B</t>
    <phoneticPr fontId="1" type="noConversion"/>
  </si>
  <si>
    <t>입수온도값</t>
  </si>
  <si>
    <t>테이블 데이터 2</t>
    <phoneticPr fontId="1" type="noConversion"/>
  </si>
  <si>
    <t>테이블 데이터 3</t>
    <phoneticPr fontId="1" type="noConversion"/>
  </si>
  <si>
    <t>테이블 데이터 4</t>
    <phoneticPr fontId="1" type="noConversion"/>
  </si>
  <si>
    <t>센서 1</t>
    <phoneticPr fontId="1" type="noConversion"/>
  </si>
  <si>
    <t>센서 2</t>
    <phoneticPr fontId="1" type="noConversion"/>
  </si>
  <si>
    <t>센서 3</t>
    <phoneticPr fontId="1" type="noConversion"/>
  </si>
  <si>
    <t>센서 4</t>
    <phoneticPr fontId="1" type="noConversion"/>
  </si>
  <si>
    <t>센서 5</t>
    <phoneticPr fontId="1" type="noConversion"/>
  </si>
  <si>
    <t>센서 6</t>
    <phoneticPr fontId="1" type="noConversion"/>
  </si>
  <si>
    <t>-</t>
    <phoneticPr fontId="1" type="noConversion"/>
  </si>
  <si>
    <t>테이블 데이터 5</t>
    <phoneticPr fontId="1" type="noConversion"/>
  </si>
  <si>
    <t>DATA8</t>
    <phoneticPr fontId="1" type="noConversion"/>
  </si>
  <si>
    <t>DATAn</t>
    <phoneticPr fontId="1" type="noConversion"/>
  </si>
  <si>
    <t>LETNGH</t>
    <phoneticPr fontId="1" type="noConversion"/>
  </si>
  <si>
    <t>Labels</t>
    <phoneticPr fontId="1" type="noConversion"/>
  </si>
  <si>
    <t>POLLING</t>
    <phoneticPr fontId="1" type="noConversion"/>
  </si>
  <si>
    <t>상태조회 (PC → 메인)</t>
    <phoneticPr fontId="1" type="noConversion"/>
  </si>
  <si>
    <t>상태조회 응답 (메인 → PC)</t>
    <phoneticPr fontId="1" type="noConversion"/>
  </si>
  <si>
    <t>NOS 밸브</t>
    <phoneticPr fontId="1" type="noConversion"/>
  </si>
  <si>
    <t>FEED 밸브</t>
    <phoneticPr fontId="1" type="noConversion"/>
  </si>
  <si>
    <t>1. 패킷의 기본 구조</t>
    <phoneticPr fontId="1" type="noConversion"/>
  </si>
  <si>
    <t>2. CMD의 구성</t>
    <phoneticPr fontId="1" type="noConversion"/>
  </si>
  <si>
    <t>※ PC는 MAIN으로 100ms마다 Polling하면서 제품의 상태를 표시한다</t>
    <phoneticPr fontId="1" type="noConversion"/>
  </si>
  <si>
    <t>※ PC는 MAIN으로 데이터를 변경요청 이벤트가 있을 때 1회 보낸다</t>
    <phoneticPr fontId="1" type="noConversion"/>
  </si>
  <si>
    <t>PC (0x01)</t>
    <phoneticPr fontId="1" type="noConversion"/>
  </si>
  <si>
    <t>MAIN (0x11)</t>
    <phoneticPr fontId="1" type="noConversion"/>
  </si>
  <si>
    <t>FRONT (0x12)</t>
    <phoneticPr fontId="1" type="noConversion"/>
  </si>
  <si>
    <t>※ CRC는 코웨이 프로토콜 기준에 맞추고 STX부터 DATA FIELD까지의 CRC값이다.</t>
    <phoneticPr fontId="1" type="noConversion"/>
  </si>
  <si>
    <t>※ 통신속도 : 38400bps (일반적인 프론트 통신과 동일)</t>
    <phoneticPr fontId="1" type="noConversion"/>
  </si>
  <si>
    <t>센서값 변경 (PC ↔ 메인)</t>
    <phoneticPr fontId="1" type="noConversion"/>
  </si>
  <si>
    <t>밸브 부하 변경 (PC ↔ 메인)</t>
  </si>
  <si>
    <t>드레인 펌프 출력 변경 (PC ↔ 메인)</t>
  </si>
  <si>
    <t>공조시스템 (PC ↔ 메인)</t>
  </si>
  <si>
    <t>냉각운전 변경 (PC ↔ 메인)</t>
  </si>
  <si>
    <t>제빙운전 변경 (PC ↔ 메인)</t>
  </si>
  <si>
    <t>보냉운전 변경 (PC ↔ 메인)</t>
  </si>
  <si>
    <t>제빙테이블 적용 (PC ↔ 메인)</t>
  </si>
  <si>
    <t>테이블 데이터 6</t>
    <phoneticPr fontId="1" type="noConversion"/>
  </si>
  <si>
    <t>제빙 STEP</t>
    <phoneticPr fontId="1" type="noConversion"/>
  </si>
  <si>
    <t>외기온도</t>
    <phoneticPr fontId="1" type="noConversion"/>
  </si>
  <si>
    <t>입수온도</t>
    <phoneticPr fontId="1" type="noConversion"/>
  </si>
  <si>
    <t>1. 패킷의 기본구조</t>
    <phoneticPr fontId="1" type="noConversion"/>
  </si>
  <si>
    <t>DATA FIELD LENGTH</t>
    <phoneticPr fontId="1" type="noConversion"/>
  </si>
  <si>
    <t>DATAFIELD….</t>
    <phoneticPr fontId="1" type="noConversion"/>
  </si>
  <si>
    <t>CRC16 H</t>
    <phoneticPr fontId="1" type="noConversion"/>
  </si>
  <si>
    <t>CRC16 L</t>
    <phoneticPr fontId="1" type="noConversion"/>
  </si>
  <si>
    <t>N+5</t>
    <phoneticPr fontId="1" type="noConversion"/>
  </si>
  <si>
    <t>N+6</t>
    <phoneticPr fontId="1" type="noConversion"/>
  </si>
  <si>
    <t>N+7</t>
    <phoneticPr fontId="1" type="noConversion"/>
  </si>
  <si>
    <t>0x0F</t>
    <phoneticPr fontId="1" type="noConversion"/>
  </si>
  <si>
    <t>DATAFIELD</t>
    <phoneticPr fontId="1" type="noConversion"/>
  </si>
  <si>
    <t>정수온도</t>
    <phoneticPr fontId="1" type="noConversion"/>
  </si>
  <si>
    <t>외기온도 2</t>
    <phoneticPr fontId="1" type="noConversion"/>
  </si>
  <si>
    <t>외기온도 1</t>
    <phoneticPr fontId="1" type="noConversion"/>
  </si>
  <si>
    <t>냉수온도</t>
    <phoneticPr fontId="1" type="noConversion"/>
  </si>
  <si>
    <t>히터 내부온도</t>
    <phoneticPr fontId="1" type="noConversion"/>
  </si>
  <si>
    <t>온수 출수온도</t>
    <phoneticPr fontId="1" type="noConversion"/>
  </si>
  <si>
    <t>Reserved</t>
    <phoneticPr fontId="1" type="noConversion"/>
  </si>
  <si>
    <t>분류</t>
    <phoneticPr fontId="1" type="noConversion"/>
  </si>
  <si>
    <t>센서류</t>
    <phoneticPr fontId="1" type="noConversion"/>
  </si>
  <si>
    <t>냉각 데이터</t>
    <phoneticPr fontId="1" type="noConversion"/>
  </si>
  <si>
    <t>운전상태</t>
    <phoneticPr fontId="1" type="noConversion"/>
  </si>
  <si>
    <t>초기 기동여부</t>
    <phoneticPr fontId="1" type="noConversion"/>
  </si>
  <si>
    <t>1 : 운전
0 : 정지</t>
    <phoneticPr fontId="1" type="noConversion"/>
  </si>
  <si>
    <t>1 : 초기기동
0 : 일반기동</t>
    <phoneticPr fontId="1" type="noConversion"/>
  </si>
  <si>
    <t>설명</t>
    <phoneticPr fontId="1" type="noConversion"/>
  </si>
  <si>
    <t>37 ~ 75</t>
    <phoneticPr fontId="1" type="noConversion"/>
  </si>
  <si>
    <t>ON 온도</t>
    <phoneticPr fontId="1" type="noConversion"/>
  </si>
  <si>
    <t>OFF 온도</t>
    <phoneticPr fontId="1" type="noConversion"/>
  </si>
  <si>
    <t>추가 기동시간</t>
    <phoneticPr fontId="1" type="noConversion"/>
  </si>
  <si>
    <t>ms</t>
    <phoneticPr fontId="1" type="noConversion"/>
  </si>
  <si>
    <t>0.1℃ 단위</t>
    <phoneticPr fontId="1" type="noConversion"/>
  </si>
  <si>
    <t>공조시스템</t>
    <phoneticPr fontId="1" type="noConversion"/>
  </si>
  <si>
    <t>0 : 핫가스
1 : 냉각
2 : 제빙
3 : 보냉</t>
    <phoneticPr fontId="1" type="noConversion"/>
  </si>
  <si>
    <t>COMP 출력상태</t>
    <phoneticPr fontId="1" type="noConversion"/>
  </si>
  <si>
    <t>1 : 가동
0 : 정지</t>
    <phoneticPr fontId="1" type="noConversion"/>
  </si>
  <si>
    <t>초 단위</t>
    <phoneticPr fontId="1" type="noConversion"/>
  </si>
  <si>
    <t>COMP 안정시간 [HIGH]</t>
    <phoneticPr fontId="1" type="noConversion"/>
  </si>
  <si>
    <t>COMP 안정시간 [LOW]</t>
    <phoneticPr fontId="1" type="noConversion"/>
  </si>
  <si>
    <t>현재 RPS</t>
    <phoneticPr fontId="1" type="noConversion"/>
  </si>
  <si>
    <t>COMP 에러코드</t>
    <phoneticPr fontId="1" type="noConversion"/>
  </si>
  <si>
    <t>압축기 팬 출력상태</t>
    <phoneticPr fontId="1" type="noConversion"/>
  </si>
  <si>
    <t>얼음탱크 팬 출력상태</t>
    <phoneticPr fontId="1" type="noConversion"/>
  </si>
  <si>
    <t>냉매전환밸브 1 
현재위치</t>
    <phoneticPr fontId="1" type="noConversion"/>
  </si>
  <si>
    <t>냉매전환밸브 2 
현재위치
(병렬 구조)</t>
    <phoneticPr fontId="1" type="noConversion"/>
  </si>
  <si>
    <t>E81 ~ E88?</t>
    <phoneticPr fontId="1" type="noConversion"/>
  </si>
  <si>
    <t>제빙 데이터</t>
    <phoneticPr fontId="1" type="noConversion"/>
  </si>
  <si>
    <t>제빙용 목표 RPS</t>
    <phoneticPr fontId="1" type="noConversion"/>
  </si>
  <si>
    <t xml:space="preserve"> 냉각용 목표 RPS</t>
    <phoneticPr fontId="1" type="noConversion"/>
  </si>
  <si>
    <t>EXCEL로…</t>
    <phoneticPr fontId="1" type="noConversion"/>
  </si>
  <si>
    <t>Hz</t>
    <phoneticPr fontId="1" type="noConversion"/>
  </si>
  <si>
    <t>제빙시간 [HIGH]</t>
    <phoneticPr fontId="1" type="noConversion"/>
  </si>
  <si>
    <t>제빙시간 [LOW]</t>
    <phoneticPr fontId="1" type="noConversion"/>
  </si>
  <si>
    <t>입수 용량 [HIGH]</t>
    <phoneticPr fontId="1" type="noConversion"/>
  </si>
  <si>
    <t>입수 용량 [LOW]</t>
    <phoneticPr fontId="1" type="noConversion"/>
  </si>
  <si>
    <t>0.1초</t>
    <phoneticPr fontId="1" type="noConversion"/>
  </si>
  <si>
    <t>보냉 데이터</t>
    <phoneticPr fontId="1" type="noConversion"/>
  </si>
  <si>
    <t>보냉 STEP</t>
    <phoneticPr fontId="1" type="noConversion"/>
  </si>
  <si>
    <t>보냉용 목표 RPS</t>
    <phoneticPr fontId="1" type="noConversion"/>
  </si>
  <si>
    <t>보냉 목표온도</t>
    <phoneticPr fontId="1" type="noConversion"/>
  </si>
  <si>
    <t>보냉 첫 목표온도</t>
    <phoneticPr fontId="1" type="noConversion"/>
  </si>
  <si>
    <t>보냉 트레이 위치</t>
    <phoneticPr fontId="1" type="noConversion"/>
  </si>
  <si>
    <t>※ 통신속도 : 9600bps</t>
    <phoneticPr fontId="1" type="noConversion"/>
  </si>
  <si>
    <t>※ CRC는 STX부터 DATA FIELD의 마지막까지의 CRC값이다.</t>
    <phoneticPr fontId="1" type="noConversion"/>
  </si>
  <si>
    <t>밸브 NOS 1 상태</t>
    <phoneticPr fontId="1" type="noConversion"/>
  </si>
  <si>
    <t>밸브 NOS 2 상태</t>
    <phoneticPr fontId="1" type="noConversion"/>
  </si>
  <si>
    <t>밸브 NOS 3 상태</t>
    <phoneticPr fontId="1" type="noConversion"/>
  </si>
  <si>
    <t>밸브 NOS 4 상태</t>
    <phoneticPr fontId="1" type="noConversion"/>
  </si>
  <si>
    <t>밸브 NOS 5 상태</t>
    <phoneticPr fontId="1" type="noConversion"/>
  </si>
  <si>
    <t>1 : CLOSE
0 : OPEN</t>
    <phoneticPr fontId="1" type="noConversion"/>
  </si>
  <si>
    <t>밸브 FEED 1 상태</t>
    <phoneticPr fontId="1" type="noConversion"/>
  </si>
  <si>
    <t>1 : OPEN
0 : CLOSE</t>
    <phoneticPr fontId="1" type="noConversion"/>
  </si>
  <si>
    <t>밸브 FEED 2 상태</t>
    <phoneticPr fontId="1" type="noConversion"/>
  </si>
  <si>
    <t>밸브 FEED 3 상태</t>
    <phoneticPr fontId="1" type="noConversion"/>
  </si>
  <si>
    <t>밸브 FEED 4 상태</t>
    <phoneticPr fontId="1" type="noConversion"/>
  </si>
  <si>
    <t>밸브 FEED 5 상태</t>
    <phoneticPr fontId="1" type="noConversion"/>
  </si>
  <si>
    <t>밸브 FEED 6 상태</t>
    <phoneticPr fontId="1" type="noConversion"/>
  </si>
  <si>
    <t>밸브 FEED 7 상태</t>
    <phoneticPr fontId="1" type="noConversion"/>
  </si>
  <si>
    <t>밸브 FEED 8 상태</t>
    <phoneticPr fontId="1" type="noConversion"/>
  </si>
  <si>
    <t>밸브 FEED 9 상태</t>
    <phoneticPr fontId="1" type="noConversion"/>
  </si>
  <si>
    <t>밸브 FEED 10 상태</t>
    <phoneticPr fontId="1" type="noConversion"/>
  </si>
  <si>
    <t>밸브 FEED 11 상태</t>
    <phoneticPr fontId="1" type="noConversion"/>
  </si>
  <si>
    <t>밸브 FEED 12 상태</t>
    <phoneticPr fontId="1" type="noConversion"/>
  </si>
  <si>
    <t>밸브 FEED 13 상태</t>
    <phoneticPr fontId="1" type="noConversion"/>
  </si>
  <si>
    <t>밸브 FEED 14 상태</t>
    <phoneticPr fontId="1" type="noConversion"/>
  </si>
  <si>
    <t>밸브 FEED 15 상태</t>
    <phoneticPr fontId="1" type="noConversion"/>
  </si>
  <si>
    <t>밸브 상태</t>
    <phoneticPr fontId="1" type="noConversion"/>
  </si>
  <si>
    <t>드레인탱크 저수위</t>
    <phoneticPr fontId="1" type="noConversion"/>
  </si>
  <si>
    <t>1 : 감지
0 : 미감지</t>
    <phoneticPr fontId="1" type="noConversion"/>
  </si>
  <si>
    <t>드레인탱크 만수위</t>
    <phoneticPr fontId="1" type="noConversion"/>
  </si>
  <si>
    <t>수위 상태</t>
    <phoneticPr fontId="1" type="noConversion"/>
  </si>
  <si>
    <t>0 : 없음
1 : 저수위
2 : 중수위
3 : 만수위
4 : 에러</t>
    <phoneticPr fontId="1" type="noConversion"/>
  </si>
  <si>
    <t>드레인 펌프 출력상태</t>
    <phoneticPr fontId="1" type="noConversion"/>
  </si>
  <si>
    <t>드레인 탱크</t>
    <phoneticPr fontId="1" type="noConversion"/>
  </si>
  <si>
    <t>제빙 트레이 위치</t>
    <phoneticPr fontId="1" type="noConversion"/>
  </si>
  <si>
    <t xml:space="preserve">0 : 제빙
1 : 중간
2 : 탈빙 </t>
    <phoneticPr fontId="1" type="noConversion"/>
  </si>
  <si>
    <t>기타</t>
    <phoneticPr fontId="1" type="noConversion"/>
  </si>
  <si>
    <t>얼음탱크 커버</t>
    <phoneticPr fontId="1" type="noConversion"/>
  </si>
  <si>
    <t>1 : 열림
0 : 닫힘</t>
    <phoneticPr fontId="1" type="noConversion"/>
  </si>
  <si>
    <t>0 : 더미탈빙
1 ~ : 제빙STEP</t>
    <phoneticPr fontId="1" type="noConversion"/>
  </si>
  <si>
    <t>얼음걸림 상태</t>
    <phoneticPr fontId="1" type="noConversion"/>
  </si>
  <si>
    <t>0 : 없음
1 : 걸림</t>
    <phoneticPr fontId="1" type="noConversion"/>
  </si>
  <si>
    <t>0.1초
Ex) 6 : 0.6초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</si>
</sst>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4" xfId="0" quotePrefix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35C0-487B-4D06-A0DE-831179CCD425}">
  <dimension ref="B1:BM33"/>
  <sheetViews>
    <sheetView showGridLines="0" topLeftCell="C5" zoomScaleNormal="100" workbookViewId="0">
      <selection activeCell="J26" sqref="J26:J27"/>
    </sheetView>
  </sheetViews>
  <sheetFormatPr defaultRowHeight="16.5" x14ac:dyDescent="0.3"/>
  <cols>
    <col min="1" max="1" width="1.125" customWidth="1"/>
    <col min="2" max="2" width="11.25" bestFit="1" customWidth="1"/>
    <col min="3" max="3" width="40.5" bestFit="1" customWidth="1"/>
    <col min="4" max="4" width="15.625" bestFit="1" customWidth="1"/>
    <col min="5" max="5" width="17.375" bestFit="1" customWidth="1"/>
    <col min="6" max="6" width="24.5" bestFit="1" customWidth="1"/>
    <col min="7" max="7" width="24.5" customWidth="1"/>
    <col min="8" max="9" width="22" bestFit="1" customWidth="1"/>
    <col min="10" max="10" width="24.75" bestFit="1" customWidth="1"/>
    <col min="11" max="11" width="25.625" bestFit="1" customWidth="1"/>
    <col min="12" max="12" width="15.5" bestFit="1" customWidth="1"/>
    <col min="13" max="13" width="16" bestFit="1" customWidth="1"/>
  </cols>
  <sheetData>
    <row r="1" spans="2:65" x14ac:dyDescent="0.3">
      <c r="B1" s="9" t="s">
        <v>73</v>
      </c>
    </row>
    <row r="2" spans="2:65" x14ac:dyDescent="0.3">
      <c r="B2" s="9">
        <v>0</v>
      </c>
      <c r="C2">
        <v>1</v>
      </c>
      <c r="D2">
        <v>2</v>
      </c>
      <c r="E2">
        <v>3</v>
      </c>
      <c r="F2">
        <v>4</v>
      </c>
    </row>
    <row r="3" spans="2:65" x14ac:dyDescent="0.3">
      <c r="B3" s="5" t="s">
        <v>0</v>
      </c>
      <c r="C3" s="5" t="s">
        <v>1</v>
      </c>
      <c r="D3" s="5" t="s">
        <v>2</v>
      </c>
      <c r="E3" s="5" t="s">
        <v>17</v>
      </c>
      <c r="F3" s="6" t="s">
        <v>3</v>
      </c>
      <c r="G3" s="6" t="s">
        <v>43</v>
      </c>
      <c r="H3" s="6" t="s">
        <v>44</v>
      </c>
      <c r="I3" s="5" t="s">
        <v>5</v>
      </c>
    </row>
    <row r="4" spans="2:65" x14ac:dyDescent="0.3">
      <c r="B4" s="3" t="s">
        <v>6</v>
      </c>
      <c r="C4" s="4" t="s">
        <v>77</v>
      </c>
      <c r="D4" s="5"/>
      <c r="E4" s="3"/>
      <c r="F4" s="3"/>
      <c r="G4" s="3"/>
      <c r="H4" s="3"/>
      <c r="I4" s="3" t="s">
        <v>7</v>
      </c>
    </row>
    <row r="5" spans="2:65" x14ac:dyDescent="0.3">
      <c r="B5" s="12"/>
      <c r="C5" s="4" t="s">
        <v>78</v>
      </c>
      <c r="D5" s="8"/>
      <c r="E5" s="12"/>
      <c r="F5" s="12"/>
      <c r="G5" s="12"/>
      <c r="H5" s="1"/>
      <c r="I5" s="1"/>
    </row>
    <row r="6" spans="2:65" x14ac:dyDescent="0.3">
      <c r="B6" s="12"/>
      <c r="C6" s="4" t="s">
        <v>79</v>
      </c>
      <c r="D6" s="8"/>
      <c r="E6" s="12"/>
      <c r="F6" s="12"/>
      <c r="G6" s="12"/>
      <c r="H6" s="1"/>
      <c r="I6" s="1"/>
    </row>
    <row r="7" spans="2:65" x14ac:dyDescent="0.3">
      <c r="B7" s="14" t="s">
        <v>75</v>
      </c>
      <c r="C7" s="11"/>
      <c r="D7" s="8"/>
      <c r="E7" s="12"/>
      <c r="F7" s="12"/>
      <c r="G7" s="12"/>
      <c r="H7" s="1"/>
      <c r="I7" s="1"/>
    </row>
    <row r="8" spans="2:65" x14ac:dyDescent="0.3">
      <c r="B8" s="14" t="s">
        <v>76</v>
      </c>
      <c r="C8" s="11"/>
      <c r="D8" s="8"/>
      <c r="E8" s="12"/>
      <c r="F8" s="12"/>
      <c r="G8" s="12"/>
      <c r="H8" s="1"/>
      <c r="I8" s="1"/>
    </row>
    <row r="9" spans="2:65" x14ac:dyDescent="0.3">
      <c r="B9" s="14" t="s">
        <v>80</v>
      </c>
      <c r="C9" s="11"/>
      <c r="D9" s="8"/>
      <c r="E9" s="12"/>
      <c r="F9" s="12"/>
      <c r="G9" s="12"/>
      <c r="H9" s="1"/>
      <c r="I9" s="1"/>
    </row>
    <row r="10" spans="2:65" x14ac:dyDescent="0.3">
      <c r="B10" s="14" t="s">
        <v>81</v>
      </c>
      <c r="C10" s="11"/>
      <c r="D10" s="8"/>
      <c r="E10" s="12"/>
      <c r="F10" s="12"/>
      <c r="G10" s="12"/>
      <c r="H10" s="1"/>
      <c r="I10" s="1"/>
    </row>
    <row r="11" spans="2:65" x14ac:dyDescent="0.3">
      <c r="C11" s="2"/>
    </row>
    <row r="12" spans="2:65" x14ac:dyDescent="0.3">
      <c r="B12" s="9" t="s">
        <v>74</v>
      </c>
      <c r="C12" s="8"/>
      <c r="D12" s="7"/>
      <c r="E12" s="7"/>
      <c r="F12" s="10"/>
      <c r="G12" s="10"/>
    </row>
    <row r="13" spans="2:65" x14ac:dyDescent="0.3">
      <c r="B13" s="13" t="s">
        <v>67</v>
      </c>
      <c r="C13" s="13" t="s">
        <v>2</v>
      </c>
      <c r="D13" s="13" t="s">
        <v>66</v>
      </c>
      <c r="E13" s="13" t="s">
        <v>12</v>
      </c>
      <c r="F13" s="13" t="s">
        <v>13</v>
      </c>
      <c r="G13" s="13" t="s">
        <v>16</v>
      </c>
      <c r="H13" s="13" t="s">
        <v>18</v>
      </c>
      <c r="I13" s="13" t="s">
        <v>29</v>
      </c>
      <c r="J13" s="13" t="s">
        <v>35</v>
      </c>
      <c r="K13" s="13" t="s">
        <v>25</v>
      </c>
      <c r="L13" s="13" t="s">
        <v>64</v>
      </c>
      <c r="M13" s="28" t="s">
        <v>65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</row>
    <row r="14" spans="2:65" x14ac:dyDescent="0.3">
      <c r="B14" s="17" t="s">
        <v>68</v>
      </c>
      <c r="C14" s="6" t="s">
        <v>69</v>
      </c>
      <c r="D14" s="18">
        <v>0</v>
      </c>
      <c r="E14" s="27" t="s">
        <v>62</v>
      </c>
      <c r="F14" s="27" t="s">
        <v>62</v>
      </c>
      <c r="G14" s="27" t="s">
        <v>62</v>
      </c>
      <c r="H14" s="27" t="s">
        <v>62</v>
      </c>
      <c r="I14" s="27" t="s">
        <v>62</v>
      </c>
      <c r="J14" s="27" t="s">
        <v>62</v>
      </c>
      <c r="K14" s="27" t="s">
        <v>62</v>
      </c>
      <c r="L14" s="27" t="s">
        <v>62</v>
      </c>
      <c r="M14" s="29" t="s">
        <v>62</v>
      </c>
    </row>
    <row r="15" spans="2:65" x14ac:dyDescent="0.3">
      <c r="B15" s="17"/>
      <c r="C15" s="6" t="s">
        <v>102</v>
      </c>
      <c r="D15" s="19"/>
      <c r="E15" s="26"/>
      <c r="F15" s="26"/>
      <c r="G15" s="26"/>
      <c r="H15" s="26"/>
      <c r="I15" s="26"/>
      <c r="J15" s="26"/>
      <c r="K15" s="26"/>
      <c r="L15" s="26"/>
      <c r="M15" s="26"/>
    </row>
    <row r="16" spans="2:65" s="48" customFormat="1" x14ac:dyDescent="0.3">
      <c r="B16" s="43" t="s">
        <v>68</v>
      </c>
      <c r="C16" s="44" t="s">
        <v>70</v>
      </c>
      <c r="D16" s="45" t="s">
        <v>45</v>
      </c>
      <c r="E16" s="46" t="s">
        <v>92</v>
      </c>
      <c r="F16" s="47" t="s">
        <v>93</v>
      </c>
      <c r="G16" s="47" t="s">
        <v>91</v>
      </c>
      <c r="H16" s="47" t="s">
        <v>62</v>
      </c>
      <c r="I16" s="47" t="s">
        <v>62</v>
      </c>
      <c r="J16" s="47" t="s">
        <v>62</v>
      </c>
      <c r="K16" s="47" t="s">
        <v>62</v>
      </c>
      <c r="L16" s="47" t="s">
        <v>62</v>
      </c>
      <c r="M16" s="47" t="s">
        <v>62</v>
      </c>
    </row>
    <row r="17" spans="2:13" s="48" customFormat="1" x14ac:dyDescent="0.3">
      <c r="B17" s="43"/>
      <c r="C17" s="44" t="s">
        <v>102</v>
      </c>
      <c r="D17" s="49"/>
      <c r="E17" s="49"/>
      <c r="F17" s="50"/>
      <c r="G17" s="50"/>
      <c r="H17" s="50"/>
      <c r="I17" s="50"/>
      <c r="J17" s="50"/>
      <c r="K17" s="50"/>
      <c r="L17" s="50"/>
      <c r="M17" s="50"/>
    </row>
    <row r="18" spans="2:13" x14ac:dyDescent="0.3">
      <c r="B18" s="20" t="s">
        <v>19</v>
      </c>
      <c r="C18" s="6" t="s">
        <v>83</v>
      </c>
      <c r="D18" s="21">
        <v>20</v>
      </c>
      <c r="E18" s="24" t="s">
        <v>71</v>
      </c>
      <c r="F18" s="24" t="s">
        <v>71</v>
      </c>
      <c r="G18" s="24" t="s">
        <v>71</v>
      </c>
      <c r="H18" s="24" t="s">
        <v>71</v>
      </c>
      <c r="I18" s="24" t="s">
        <v>71</v>
      </c>
      <c r="J18" s="27" t="s">
        <v>72</v>
      </c>
      <c r="K18" s="27" t="s">
        <v>72</v>
      </c>
      <c r="L18" s="27" t="s">
        <v>72</v>
      </c>
      <c r="M18" s="27" t="s">
        <v>72</v>
      </c>
    </row>
    <row r="19" spans="2:13" x14ac:dyDescent="0.3">
      <c r="B19" s="17"/>
      <c r="C19" s="5" t="s">
        <v>8</v>
      </c>
      <c r="D19" s="21"/>
      <c r="E19" s="24"/>
      <c r="F19" s="24"/>
      <c r="G19" s="24"/>
      <c r="H19" s="24"/>
      <c r="I19" s="24"/>
      <c r="J19" s="26"/>
      <c r="K19" s="26"/>
      <c r="L19" s="26"/>
      <c r="M19" s="26"/>
    </row>
    <row r="20" spans="2:13" x14ac:dyDescent="0.3">
      <c r="B20" s="17"/>
      <c r="C20" s="6" t="s">
        <v>84</v>
      </c>
      <c r="D20" s="21">
        <v>1</v>
      </c>
      <c r="E20" s="24" t="s">
        <v>46</v>
      </c>
      <c r="F20" s="27" t="s">
        <v>62</v>
      </c>
      <c r="G20" s="27" t="s">
        <v>62</v>
      </c>
      <c r="H20" s="27" t="s">
        <v>62</v>
      </c>
      <c r="I20" s="27" t="s">
        <v>62</v>
      </c>
      <c r="J20" s="27" t="s">
        <v>62</v>
      </c>
      <c r="K20" s="27" t="s">
        <v>62</v>
      </c>
      <c r="L20" s="27" t="s">
        <v>62</v>
      </c>
      <c r="M20" s="27" t="s">
        <v>62</v>
      </c>
    </row>
    <row r="21" spans="2:13" x14ac:dyDescent="0.3">
      <c r="B21" s="17"/>
      <c r="C21" s="5" t="s">
        <v>11</v>
      </c>
      <c r="D21" s="21"/>
      <c r="E21" s="24"/>
      <c r="F21" s="26"/>
      <c r="G21" s="26"/>
      <c r="H21" s="26"/>
      <c r="I21" s="26"/>
      <c r="J21" s="26"/>
      <c r="K21" s="26"/>
      <c r="L21" s="26"/>
      <c r="M21" s="26"/>
    </row>
    <row r="22" spans="2:13" x14ac:dyDescent="0.3">
      <c r="B22" s="23" t="s">
        <v>23</v>
      </c>
      <c r="C22" s="5" t="s">
        <v>85</v>
      </c>
      <c r="D22" s="21">
        <v>5</v>
      </c>
      <c r="E22" s="24" t="s">
        <v>34</v>
      </c>
      <c r="F22" s="24" t="s">
        <v>47</v>
      </c>
      <c r="G22" s="24" t="s">
        <v>48</v>
      </c>
      <c r="H22" s="24" t="s">
        <v>49</v>
      </c>
      <c r="I22" s="27" t="s">
        <v>62</v>
      </c>
      <c r="J22" s="27" t="s">
        <v>62</v>
      </c>
      <c r="K22" s="27" t="s">
        <v>62</v>
      </c>
      <c r="L22" s="27" t="s">
        <v>62</v>
      </c>
      <c r="M22" s="27" t="s">
        <v>62</v>
      </c>
    </row>
    <row r="23" spans="2:13" x14ac:dyDescent="0.3">
      <c r="B23" s="23"/>
      <c r="C23" s="5" t="s">
        <v>32</v>
      </c>
      <c r="D23" s="21"/>
      <c r="E23" s="24"/>
      <c r="F23" s="24"/>
      <c r="G23" s="24"/>
      <c r="H23" s="24"/>
      <c r="I23" s="26"/>
      <c r="J23" s="26"/>
      <c r="K23" s="26"/>
      <c r="L23" s="26"/>
      <c r="M23" s="26"/>
    </row>
    <row r="24" spans="2:13" x14ac:dyDescent="0.3">
      <c r="B24" s="23"/>
      <c r="C24" s="6" t="s">
        <v>86</v>
      </c>
      <c r="D24" s="22">
        <v>4</v>
      </c>
      <c r="E24" s="21" t="s">
        <v>39</v>
      </c>
      <c r="F24" s="21" t="s">
        <v>40</v>
      </c>
      <c r="G24" s="24" t="s">
        <v>31</v>
      </c>
      <c r="H24" s="24" t="s">
        <v>14</v>
      </c>
      <c r="I24" s="24" t="s">
        <v>15</v>
      </c>
      <c r="J24" s="24" t="s">
        <v>24</v>
      </c>
      <c r="K24" s="27" t="s">
        <v>62</v>
      </c>
      <c r="L24" s="27" t="s">
        <v>62</v>
      </c>
      <c r="M24" s="27" t="s">
        <v>62</v>
      </c>
    </row>
    <row r="25" spans="2:13" x14ac:dyDescent="0.3">
      <c r="B25" s="23"/>
      <c r="C25" s="5" t="s">
        <v>9</v>
      </c>
      <c r="D25" s="22"/>
      <c r="E25" s="21"/>
      <c r="F25" s="21"/>
      <c r="G25" s="24"/>
      <c r="H25" s="24"/>
      <c r="I25" s="24"/>
      <c r="J25" s="24"/>
      <c r="K25" s="26"/>
      <c r="L25" s="26"/>
      <c r="M25" s="26"/>
    </row>
    <row r="26" spans="2:13" x14ac:dyDescent="0.3">
      <c r="B26" s="23"/>
      <c r="C26" s="6" t="s">
        <v>87</v>
      </c>
      <c r="D26" s="22">
        <v>7</v>
      </c>
      <c r="E26" s="21" t="s">
        <v>39</v>
      </c>
      <c r="F26" s="21" t="s">
        <v>40</v>
      </c>
      <c r="G26" s="24" t="s">
        <v>26</v>
      </c>
      <c r="H26" s="24" t="s">
        <v>50</v>
      </c>
      <c r="I26" s="24" t="s">
        <v>51</v>
      </c>
      <c r="J26" s="24" t="s">
        <v>37</v>
      </c>
      <c r="K26" s="24" t="s">
        <v>36</v>
      </c>
      <c r="L26" s="24" t="s">
        <v>27</v>
      </c>
      <c r="M26" s="24" t="s">
        <v>28</v>
      </c>
    </row>
    <row r="27" spans="2:13" x14ac:dyDescent="0.3">
      <c r="B27" s="23"/>
      <c r="C27" s="5" t="s">
        <v>10</v>
      </c>
      <c r="D27" s="22"/>
      <c r="E27" s="21"/>
      <c r="F27" s="21"/>
      <c r="G27" s="24"/>
      <c r="H27" s="24"/>
      <c r="I27" s="24"/>
      <c r="J27" s="24"/>
      <c r="K27" s="24"/>
      <c r="L27" s="24"/>
      <c r="M27" s="24"/>
    </row>
    <row r="28" spans="2:13" x14ac:dyDescent="0.3">
      <c r="B28" s="23"/>
      <c r="C28" s="6" t="s">
        <v>88</v>
      </c>
      <c r="D28" s="22">
        <v>4</v>
      </c>
      <c r="E28" s="21" t="s">
        <v>39</v>
      </c>
      <c r="F28" s="21" t="s">
        <v>40</v>
      </c>
      <c r="G28" s="21" t="s">
        <v>41</v>
      </c>
      <c r="H28" s="24" t="s">
        <v>42</v>
      </c>
      <c r="I28" s="27" t="s">
        <v>62</v>
      </c>
      <c r="J28" s="27" t="s">
        <v>62</v>
      </c>
      <c r="K28" s="27" t="s">
        <v>62</v>
      </c>
      <c r="L28" s="27" t="s">
        <v>62</v>
      </c>
      <c r="M28" s="27" t="s">
        <v>62</v>
      </c>
    </row>
    <row r="29" spans="2:13" x14ac:dyDescent="0.3">
      <c r="B29" s="23"/>
      <c r="C29" s="6" t="s">
        <v>38</v>
      </c>
      <c r="D29" s="22"/>
      <c r="E29" s="21"/>
      <c r="F29" s="21"/>
      <c r="G29" s="21"/>
      <c r="H29" s="24"/>
      <c r="I29" s="26"/>
      <c r="J29" s="26"/>
      <c r="K29" s="26"/>
      <c r="L29" s="26"/>
      <c r="M29" s="26"/>
    </row>
    <row r="30" spans="2:13" x14ac:dyDescent="0.3">
      <c r="B30" s="23"/>
      <c r="C30" s="6" t="s">
        <v>89</v>
      </c>
      <c r="D30" s="21">
        <v>93</v>
      </c>
      <c r="E30" s="25" t="s">
        <v>52</v>
      </c>
      <c r="F30" s="25" t="s">
        <v>22</v>
      </c>
      <c r="G30" s="25" t="s">
        <v>53</v>
      </c>
      <c r="H30" s="25" t="s">
        <v>54</v>
      </c>
      <c r="I30" s="25" t="s">
        <v>55</v>
      </c>
      <c r="J30" s="25" t="s">
        <v>63</v>
      </c>
      <c r="K30" s="24" t="s">
        <v>90</v>
      </c>
      <c r="L30" s="25" t="s">
        <v>4</v>
      </c>
      <c r="M30" s="24" t="s">
        <v>30</v>
      </c>
    </row>
    <row r="31" spans="2:13" x14ac:dyDescent="0.3">
      <c r="B31" s="23"/>
      <c r="C31" s="5" t="s">
        <v>33</v>
      </c>
      <c r="D31" s="21"/>
      <c r="E31" s="26"/>
      <c r="F31" s="26"/>
      <c r="G31" s="26"/>
      <c r="H31" s="26"/>
      <c r="I31" s="26"/>
      <c r="J31" s="26"/>
      <c r="K31" s="24"/>
      <c r="L31" s="26"/>
      <c r="M31" s="24"/>
    </row>
    <row r="32" spans="2:13" x14ac:dyDescent="0.3">
      <c r="B32" s="17" t="s">
        <v>20</v>
      </c>
      <c r="C32" s="5" t="s">
        <v>82</v>
      </c>
      <c r="D32" s="21">
        <v>7</v>
      </c>
      <c r="E32" s="21" t="s">
        <v>56</v>
      </c>
      <c r="F32" s="21" t="s">
        <v>57</v>
      </c>
      <c r="G32" s="21" t="s">
        <v>58</v>
      </c>
      <c r="H32" s="21" t="s">
        <v>59</v>
      </c>
      <c r="I32" s="21" t="s">
        <v>60</v>
      </c>
      <c r="J32" s="21" t="s">
        <v>61</v>
      </c>
      <c r="K32" s="27" t="s">
        <v>62</v>
      </c>
      <c r="L32" s="27" t="s">
        <v>62</v>
      </c>
      <c r="M32" s="27" t="s">
        <v>62</v>
      </c>
    </row>
    <row r="33" spans="2:13" x14ac:dyDescent="0.3">
      <c r="B33" s="17"/>
      <c r="C33" s="5" t="s">
        <v>21</v>
      </c>
      <c r="D33" s="21"/>
      <c r="E33" s="21"/>
      <c r="F33" s="21"/>
      <c r="G33" s="21"/>
      <c r="H33" s="21"/>
      <c r="I33" s="21"/>
      <c r="J33" s="21"/>
      <c r="K33" s="26"/>
      <c r="L33" s="26"/>
      <c r="M33" s="26"/>
    </row>
  </sheetData>
  <mergeCells count="106">
    <mergeCell ref="M13:BM13"/>
    <mergeCell ref="J14:J15"/>
    <mergeCell ref="K14:K15"/>
    <mergeCell ref="L14:L15"/>
    <mergeCell ref="M14:M15"/>
    <mergeCell ref="F16:F17"/>
    <mergeCell ref="G16:G17"/>
    <mergeCell ref="H16:H17"/>
    <mergeCell ref="I16:I17"/>
    <mergeCell ref="J16:J17"/>
    <mergeCell ref="K16:K17"/>
    <mergeCell ref="L16:L17"/>
    <mergeCell ref="M16:M17"/>
    <mergeCell ref="E14:E15"/>
    <mergeCell ref="F14:F15"/>
    <mergeCell ref="G14:G15"/>
    <mergeCell ref="H14:H15"/>
    <mergeCell ref="I14:I15"/>
    <mergeCell ref="L32:L33"/>
    <mergeCell ref="M32:M33"/>
    <mergeCell ref="B16:B17"/>
    <mergeCell ref="D16:D17"/>
    <mergeCell ref="E16:E17"/>
    <mergeCell ref="M30:M31"/>
    <mergeCell ref="L30:L31"/>
    <mergeCell ref="J22:J23"/>
    <mergeCell ref="K18:K19"/>
    <mergeCell ref="L18:L19"/>
    <mergeCell ref="M18:M19"/>
    <mergeCell ref="M22:M23"/>
    <mergeCell ref="K22:K23"/>
    <mergeCell ref="L22:L23"/>
    <mergeCell ref="M24:M25"/>
    <mergeCell ref="L24:L25"/>
    <mergeCell ref="K24:K25"/>
    <mergeCell ref="J28:J29"/>
    <mergeCell ref="K28:K29"/>
    <mergeCell ref="L28:L29"/>
    <mergeCell ref="M28:M29"/>
    <mergeCell ref="J18:J19"/>
    <mergeCell ref="J20:J21"/>
    <mergeCell ref="K20:K21"/>
    <mergeCell ref="L20:L21"/>
    <mergeCell ref="M20:M21"/>
    <mergeCell ref="K30:K31"/>
    <mergeCell ref="E32:E33"/>
    <mergeCell ref="F32:F33"/>
    <mergeCell ref="G32:G33"/>
    <mergeCell ref="H32:H33"/>
    <mergeCell ref="I32:I33"/>
    <mergeCell ref="J32:J33"/>
    <mergeCell ref="K32:K33"/>
    <mergeCell ref="G30:G31"/>
    <mergeCell ref="H30:H31"/>
    <mergeCell ref="I30:I31"/>
    <mergeCell ref="J30:J31"/>
    <mergeCell ref="K26:K27"/>
    <mergeCell ref="L26:L27"/>
    <mergeCell ref="M26:M27"/>
    <mergeCell ref="G28:G29"/>
    <mergeCell ref="H28:H29"/>
    <mergeCell ref="I28:I29"/>
    <mergeCell ref="G24:G25"/>
    <mergeCell ref="G26:G27"/>
    <mergeCell ref="H26:H27"/>
    <mergeCell ref="I26:I27"/>
    <mergeCell ref="J26:J27"/>
    <mergeCell ref="H24:H25"/>
    <mergeCell ref="I24:I25"/>
    <mergeCell ref="J24:J25"/>
    <mergeCell ref="G18:G19"/>
    <mergeCell ref="H18:H19"/>
    <mergeCell ref="I18:I19"/>
    <mergeCell ref="F22:F23"/>
    <mergeCell ref="I22:I23"/>
    <mergeCell ref="G22:G23"/>
    <mergeCell ref="H22:H23"/>
    <mergeCell ref="F20:F21"/>
    <mergeCell ref="G20:G21"/>
    <mergeCell ref="H20:H21"/>
    <mergeCell ref="I20:I21"/>
    <mergeCell ref="E22:E23"/>
    <mergeCell ref="E20:E21"/>
    <mergeCell ref="E18:E19"/>
    <mergeCell ref="F26:F27"/>
    <mergeCell ref="F24:F25"/>
    <mergeCell ref="F18:F19"/>
    <mergeCell ref="E28:E29"/>
    <mergeCell ref="F28:F29"/>
    <mergeCell ref="E30:E31"/>
    <mergeCell ref="E26:E27"/>
    <mergeCell ref="E24:E25"/>
    <mergeCell ref="F30:F31"/>
    <mergeCell ref="B14:B15"/>
    <mergeCell ref="D14:D15"/>
    <mergeCell ref="B18:B21"/>
    <mergeCell ref="D32:D33"/>
    <mergeCell ref="D30:D31"/>
    <mergeCell ref="D20:D21"/>
    <mergeCell ref="D18:D19"/>
    <mergeCell ref="B32:B33"/>
    <mergeCell ref="D24:D25"/>
    <mergeCell ref="D26:D27"/>
    <mergeCell ref="D22:D23"/>
    <mergeCell ref="D28:D29"/>
    <mergeCell ref="B22:B3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1FFD-1EFE-4B40-9796-CC74E04442A4}">
  <dimension ref="B1:D16"/>
  <sheetViews>
    <sheetView showGridLines="0" workbookViewId="0">
      <selection activeCell="B18" sqref="B18"/>
    </sheetView>
  </sheetViews>
  <sheetFormatPr defaultRowHeight="16.5" x14ac:dyDescent="0.3"/>
  <cols>
    <col min="1" max="1" width="1.375" customWidth="1"/>
    <col min="2" max="2" width="9" style="1" customWidth="1"/>
    <col min="3" max="3" width="23" style="1" bestFit="1" customWidth="1"/>
    <col min="4" max="4" width="11.125" style="1" customWidth="1"/>
    <col min="5" max="5" width="11.625" bestFit="1" customWidth="1"/>
  </cols>
  <sheetData>
    <row r="1" spans="2:4" ht="5.25" customHeight="1" x14ac:dyDescent="0.3">
      <c r="B1"/>
      <c r="C1"/>
      <c r="D1"/>
    </row>
    <row r="2" spans="2:4" x14ac:dyDescent="0.3">
      <c r="B2" s="9" t="s">
        <v>94</v>
      </c>
      <c r="C2"/>
      <c r="D2"/>
    </row>
    <row r="3" spans="2:4" x14ac:dyDescent="0.3">
      <c r="B3" s="16">
        <v>0</v>
      </c>
      <c r="C3" s="16" t="s">
        <v>0</v>
      </c>
      <c r="D3" s="12"/>
    </row>
    <row r="4" spans="2:4" x14ac:dyDescent="0.3">
      <c r="B4" s="16">
        <v>1</v>
      </c>
      <c r="C4" s="16" t="s">
        <v>1</v>
      </c>
      <c r="D4" s="12"/>
    </row>
    <row r="5" spans="2:4" x14ac:dyDescent="0.3">
      <c r="B5" s="16">
        <v>2</v>
      </c>
      <c r="C5" s="16" t="s">
        <v>2</v>
      </c>
      <c r="D5" s="12"/>
    </row>
    <row r="6" spans="2:4" x14ac:dyDescent="0.3">
      <c r="B6" s="16">
        <v>3</v>
      </c>
      <c r="C6" s="16" t="s">
        <v>95</v>
      </c>
      <c r="D6" s="12"/>
    </row>
    <row r="7" spans="2:4" x14ac:dyDescent="0.3">
      <c r="B7" s="16">
        <v>4</v>
      </c>
      <c r="C7" s="16" t="s">
        <v>96</v>
      </c>
      <c r="D7" s="12"/>
    </row>
    <row r="8" spans="2:4" x14ac:dyDescent="0.3">
      <c r="B8" s="16" t="s">
        <v>4</v>
      </c>
      <c r="C8" s="16" t="s">
        <v>4</v>
      </c>
      <c r="D8" s="12"/>
    </row>
    <row r="9" spans="2:4" x14ac:dyDescent="0.3">
      <c r="B9" s="16" t="s">
        <v>99</v>
      </c>
      <c r="C9" s="16" t="s">
        <v>97</v>
      </c>
      <c r="D9" s="12"/>
    </row>
    <row r="10" spans="2:4" x14ac:dyDescent="0.3">
      <c r="B10" s="16" t="s">
        <v>100</v>
      </c>
      <c r="C10" s="16" t="s">
        <v>98</v>
      </c>
      <c r="D10" s="12"/>
    </row>
    <row r="11" spans="2:4" x14ac:dyDescent="0.3">
      <c r="B11" s="16" t="s">
        <v>101</v>
      </c>
      <c r="C11" s="16" t="s">
        <v>5</v>
      </c>
      <c r="D11" s="12"/>
    </row>
    <row r="12" spans="2:4" x14ac:dyDescent="0.3">
      <c r="B12"/>
      <c r="C12"/>
      <c r="D12"/>
    </row>
    <row r="13" spans="2:4" x14ac:dyDescent="0.3">
      <c r="B13" s="14" t="s">
        <v>75</v>
      </c>
    </row>
    <row r="14" spans="2:4" x14ac:dyDescent="0.3">
      <c r="B14" s="14" t="s">
        <v>76</v>
      </c>
    </row>
    <row r="15" spans="2:4" x14ac:dyDescent="0.3">
      <c r="B15" s="14" t="s">
        <v>156</v>
      </c>
    </row>
    <row r="16" spans="2:4" x14ac:dyDescent="0.3">
      <c r="B16" s="14" t="s">
        <v>155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00FB-797A-4EF3-AE36-C2C62770D12C}">
  <dimension ref="B1:F119"/>
  <sheetViews>
    <sheetView showGridLines="0" tabSelected="1" topLeftCell="A38" workbookViewId="0">
      <selection activeCell="D49" sqref="D49"/>
    </sheetView>
  </sheetViews>
  <sheetFormatPr defaultRowHeight="16.5" x14ac:dyDescent="0.3"/>
  <cols>
    <col min="1" max="1" width="1.625" customWidth="1"/>
    <col min="2" max="2" width="9" style="1" customWidth="1"/>
    <col min="3" max="3" width="23" style="1" bestFit="1" customWidth="1"/>
    <col min="4" max="4" width="16.625" style="1" customWidth="1"/>
    <col min="5" max="5" width="11.625" bestFit="1" customWidth="1"/>
  </cols>
  <sheetData>
    <row r="1" spans="2:6" ht="14.25" customHeight="1" thickBot="1" x14ac:dyDescent="0.35">
      <c r="B1"/>
      <c r="C1"/>
      <c r="D1"/>
    </row>
    <row r="2" spans="2:6" x14ac:dyDescent="0.3">
      <c r="B2" s="33" t="s">
        <v>2</v>
      </c>
      <c r="C2" s="34" t="s">
        <v>102</v>
      </c>
      <c r="D2" s="35"/>
      <c r="E2" s="36"/>
    </row>
    <row r="3" spans="2:6" x14ac:dyDescent="0.3">
      <c r="B3" s="39" t="s">
        <v>103</v>
      </c>
      <c r="C3" s="40"/>
      <c r="D3" s="41" t="s">
        <v>118</v>
      </c>
      <c r="E3" s="42" t="s">
        <v>111</v>
      </c>
    </row>
    <row r="4" spans="2:6" x14ac:dyDescent="0.3">
      <c r="B4" s="16">
        <v>1</v>
      </c>
      <c r="C4" s="16" t="s">
        <v>106</v>
      </c>
      <c r="D4" s="16" t="s">
        <v>124</v>
      </c>
      <c r="E4" s="22" t="s">
        <v>112</v>
      </c>
    </row>
    <row r="5" spans="2:6" x14ac:dyDescent="0.3">
      <c r="B5" s="16">
        <f>B4+1</f>
        <v>2</v>
      </c>
      <c r="C5" s="16" t="s">
        <v>93</v>
      </c>
      <c r="D5" s="16" t="s">
        <v>124</v>
      </c>
      <c r="E5" s="22"/>
    </row>
    <row r="6" spans="2:6" x14ac:dyDescent="0.3">
      <c r="B6" s="16">
        <f>B5+1</f>
        <v>3</v>
      </c>
      <c r="C6" s="16" t="s">
        <v>104</v>
      </c>
      <c r="D6" s="16" t="s">
        <v>124</v>
      </c>
      <c r="E6" s="22"/>
      <c r="F6" s="12"/>
    </row>
    <row r="7" spans="2:6" x14ac:dyDescent="0.3">
      <c r="B7" s="16">
        <f>B6+1</f>
        <v>4</v>
      </c>
      <c r="C7" s="16" t="s">
        <v>105</v>
      </c>
      <c r="D7" s="16" t="s">
        <v>124</v>
      </c>
      <c r="E7" s="22"/>
    </row>
    <row r="8" spans="2:6" x14ac:dyDescent="0.3">
      <c r="B8" s="16">
        <f>B7+1</f>
        <v>5</v>
      </c>
      <c r="C8" s="16" t="s">
        <v>107</v>
      </c>
      <c r="D8" s="16" t="s">
        <v>124</v>
      </c>
      <c r="E8" s="22"/>
    </row>
    <row r="9" spans="2:6" x14ac:dyDescent="0.3">
      <c r="B9" s="16">
        <f>B8+1</f>
        <v>6</v>
      </c>
      <c r="C9" s="16" t="s">
        <v>108</v>
      </c>
      <c r="D9" s="16" t="s">
        <v>124</v>
      </c>
      <c r="E9" s="22"/>
    </row>
    <row r="10" spans="2:6" x14ac:dyDescent="0.3">
      <c r="B10" s="16">
        <f>B9+1</f>
        <v>7</v>
      </c>
      <c r="C10" s="16" t="s">
        <v>109</v>
      </c>
      <c r="D10" s="16" t="s">
        <v>124</v>
      </c>
      <c r="E10" s="22"/>
    </row>
    <row r="11" spans="2:6" x14ac:dyDescent="0.3">
      <c r="B11" s="16">
        <f>B10+1</f>
        <v>8</v>
      </c>
      <c r="C11" s="16" t="s">
        <v>110</v>
      </c>
      <c r="D11" s="32" t="s">
        <v>62</v>
      </c>
      <c r="E11" s="22"/>
    </row>
    <row r="12" spans="2:6" x14ac:dyDescent="0.3">
      <c r="B12" s="16">
        <f>B11+1</f>
        <v>9</v>
      </c>
      <c r="C12" s="16" t="s">
        <v>110</v>
      </c>
      <c r="D12" s="32" t="s">
        <v>62</v>
      </c>
      <c r="E12" s="22"/>
    </row>
    <row r="13" spans="2:6" x14ac:dyDescent="0.3">
      <c r="B13" s="16">
        <f>B12+1</f>
        <v>10</v>
      </c>
      <c r="C13" s="16" t="s">
        <v>110</v>
      </c>
      <c r="D13" s="32" t="s">
        <v>62</v>
      </c>
      <c r="E13" s="22"/>
    </row>
    <row r="14" spans="2:6" x14ac:dyDescent="0.3">
      <c r="B14" s="16">
        <f>B13+1</f>
        <v>11</v>
      </c>
      <c r="C14" s="16" t="s">
        <v>110</v>
      </c>
      <c r="D14" s="32" t="s">
        <v>62</v>
      </c>
      <c r="E14" s="22"/>
    </row>
    <row r="15" spans="2:6" x14ac:dyDescent="0.3">
      <c r="B15" s="16">
        <f>B14+1</f>
        <v>12</v>
      </c>
      <c r="C15" s="16" t="s">
        <v>110</v>
      </c>
      <c r="D15" s="32" t="s">
        <v>62</v>
      </c>
      <c r="E15" s="22"/>
    </row>
    <row r="16" spans="2:6" x14ac:dyDescent="0.3">
      <c r="B16" s="16">
        <f>B15+1</f>
        <v>13</v>
      </c>
      <c r="C16" s="16" t="s">
        <v>110</v>
      </c>
      <c r="D16" s="32" t="s">
        <v>62</v>
      </c>
      <c r="E16" s="22"/>
    </row>
    <row r="17" spans="2:5" ht="66" x14ac:dyDescent="0.3">
      <c r="B17" s="16">
        <f>B16+1</f>
        <v>14</v>
      </c>
      <c r="C17" s="31" t="s">
        <v>136</v>
      </c>
      <c r="D17" s="31" t="s">
        <v>126</v>
      </c>
      <c r="E17" s="24" t="s">
        <v>125</v>
      </c>
    </row>
    <row r="18" spans="2:5" ht="66" x14ac:dyDescent="0.3">
      <c r="B18" s="16">
        <f>B17+1</f>
        <v>15</v>
      </c>
      <c r="C18" s="31" t="s">
        <v>137</v>
      </c>
      <c r="D18" s="31" t="s">
        <v>126</v>
      </c>
      <c r="E18" s="24"/>
    </row>
    <row r="19" spans="2:5" ht="33" x14ac:dyDescent="0.3">
      <c r="B19" s="16">
        <f>B18+1</f>
        <v>16</v>
      </c>
      <c r="C19" s="16" t="s">
        <v>127</v>
      </c>
      <c r="D19" s="31" t="s">
        <v>128</v>
      </c>
      <c r="E19" s="24"/>
    </row>
    <row r="20" spans="2:5" x14ac:dyDescent="0.3">
      <c r="B20" s="16">
        <f>B19+1</f>
        <v>17</v>
      </c>
      <c r="C20" s="16" t="s">
        <v>130</v>
      </c>
      <c r="D20" s="16" t="s">
        <v>129</v>
      </c>
      <c r="E20" s="24"/>
    </row>
    <row r="21" spans="2:5" x14ac:dyDescent="0.3">
      <c r="B21" s="16">
        <f>B20+1</f>
        <v>18</v>
      </c>
      <c r="C21" s="16" t="s">
        <v>131</v>
      </c>
      <c r="D21" s="16" t="s">
        <v>129</v>
      </c>
      <c r="E21" s="24"/>
    </row>
    <row r="22" spans="2:5" x14ac:dyDescent="0.3">
      <c r="B22" s="16">
        <f>B21+1</f>
        <v>19</v>
      </c>
      <c r="C22" s="16" t="s">
        <v>132</v>
      </c>
      <c r="D22" s="16" t="s">
        <v>119</v>
      </c>
      <c r="E22" s="24"/>
    </row>
    <row r="23" spans="2:5" x14ac:dyDescent="0.3">
      <c r="B23" s="16">
        <f>B22+1</f>
        <v>20</v>
      </c>
      <c r="C23" s="16" t="s">
        <v>133</v>
      </c>
      <c r="D23" s="16" t="s">
        <v>138</v>
      </c>
      <c r="E23" s="24"/>
    </row>
    <row r="24" spans="2:5" ht="33" x14ac:dyDescent="0.3">
      <c r="B24" s="16">
        <f t="shared" ref="B24:B89" si="0">B23+1</f>
        <v>21</v>
      </c>
      <c r="C24" s="16" t="s">
        <v>134</v>
      </c>
      <c r="D24" s="31" t="s">
        <v>128</v>
      </c>
      <c r="E24" s="24"/>
    </row>
    <row r="25" spans="2:5" ht="33" x14ac:dyDescent="0.3">
      <c r="B25" s="16">
        <f t="shared" si="0"/>
        <v>22</v>
      </c>
      <c r="C25" s="16" t="s">
        <v>135</v>
      </c>
      <c r="D25" s="31" t="s">
        <v>128</v>
      </c>
      <c r="E25" s="24"/>
    </row>
    <row r="26" spans="2:5" x14ac:dyDescent="0.3">
      <c r="B26" s="16">
        <f t="shared" si="0"/>
        <v>23</v>
      </c>
      <c r="C26" s="16" t="s">
        <v>110</v>
      </c>
      <c r="D26" s="32" t="s">
        <v>62</v>
      </c>
      <c r="E26" s="24"/>
    </row>
    <row r="27" spans="2:5" x14ac:dyDescent="0.3">
      <c r="B27" s="16">
        <f t="shared" si="0"/>
        <v>24</v>
      </c>
      <c r="C27" s="16" t="s">
        <v>110</v>
      </c>
      <c r="D27" s="32" t="s">
        <v>62</v>
      </c>
      <c r="E27" s="24"/>
    </row>
    <row r="28" spans="2:5" x14ac:dyDescent="0.3">
      <c r="B28" s="16">
        <f t="shared" si="0"/>
        <v>25</v>
      </c>
      <c r="C28" s="16" t="s">
        <v>110</v>
      </c>
      <c r="D28" s="32" t="s">
        <v>62</v>
      </c>
      <c r="E28" s="24"/>
    </row>
    <row r="29" spans="2:5" x14ac:dyDescent="0.3">
      <c r="B29" s="16">
        <f t="shared" si="0"/>
        <v>26</v>
      </c>
      <c r="C29" s="16" t="s">
        <v>110</v>
      </c>
      <c r="D29" s="32" t="s">
        <v>62</v>
      </c>
      <c r="E29" s="24"/>
    </row>
    <row r="30" spans="2:5" x14ac:dyDescent="0.3">
      <c r="B30" s="16">
        <f t="shared" si="0"/>
        <v>27</v>
      </c>
      <c r="C30" s="16" t="s">
        <v>110</v>
      </c>
      <c r="D30" s="32" t="s">
        <v>62</v>
      </c>
      <c r="E30" s="24"/>
    </row>
    <row r="31" spans="2:5" x14ac:dyDescent="0.3">
      <c r="B31" s="16">
        <f t="shared" si="0"/>
        <v>28</v>
      </c>
      <c r="C31" s="16" t="s">
        <v>110</v>
      </c>
      <c r="D31" s="32" t="s">
        <v>62</v>
      </c>
      <c r="E31" s="24"/>
    </row>
    <row r="32" spans="2:5" ht="33" x14ac:dyDescent="0.3">
      <c r="B32" s="16">
        <f t="shared" si="0"/>
        <v>29</v>
      </c>
      <c r="C32" s="16" t="s">
        <v>114</v>
      </c>
      <c r="D32" s="31" t="s">
        <v>116</v>
      </c>
      <c r="E32" s="24" t="s">
        <v>113</v>
      </c>
    </row>
    <row r="33" spans="2:6" ht="33" x14ac:dyDescent="0.3">
      <c r="B33" s="16">
        <f t="shared" si="0"/>
        <v>30</v>
      </c>
      <c r="C33" s="16" t="s">
        <v>115</v>
      </c>
      <c r="D33" s="31" t="s">
        <v>117</v>
      </c>
      <c r="E33" s="24"/>
    </row>
    <row r="34" spans="2:6" x14ac:dyDescent="0.3">
      <c r="B34" s="16">
        <f t="shared" si="0"/>
        <v>31</v>
      </c>
      <c r="C34" s="16" t="s">
        <v>141</v>
      </c>
      <c r="D34" s="16" t="s">
        <v>119</v>
      </c>
      <c r="E34" s="24"/>
    </row>
    <row r="35" spans="2:6" x14ac:dyDescent="0.3">
      <c r="B35" s="16">
        <f t="shared" si="0"/>
        <v>32</v>
      </c>
      <c r="C35" s="16" t="s">
        <v>120</v>
      </c>
      <c r="D35" s="16" t="s">
        <v>124</v>
      </c>
      <c r="E35" s="24"/>
    </row>
    <row r="36" spans="2:6" x14ac:dyDescent="0.3">
      <c r="B36" s="16">
        <f t="shared" si="0"/>
        <v>33</v>
      </c>
      <c r="C36" s="16" t="s">
        <v>121</v>
      </c>
      <c r="D36" s="16" t="s">
        <v>124</v>
      </c>
      <c r="E36" s="24"/>
    </row>
    <row r="37" spans="2:6" x14ac:dyDescent="0.3">
      <c r="B37" s="16">
        <f t="shared" si="0"/>
        <v>34</v>
      </c>
      <c r="C37" s="16" t="s">
        <v>122</v>
      </c>
      <c r="D37" s="16" t="s">
        <v>123</v>
      </c>
      <c r="E37" s="24"/>
    </row>
    <row r="38" spans="2:6" x14ac:dyDescent="0.3">
      <c r="B38" s="16">
        <f t="shared" si="0"/>
        <v>35</v>
      </c>
      <c r="C38" s="16" t="s">
        <v>110</v>
      </c>
      <c r="D38" s="32" t="s">
        <v>62</v>
      </c>
      <c r="E38" s="24"/>
    </row>
    <row r="39" spans="2:6" x14ac:dyDescent="0.3">
      <c r="B39" s="16">
        <f t="shared" si="0"/>
        <v>36</v>
      </c>
      <c r="C39" s="16" t="s">
        <v>110</v>
      </c>
      <c r="D39" s="32" t="s">
        <v>62</v>
      </c>
      <c r="E39" s="24"/>
    </row>
    <row r="40" spans="2:6" x14ac:dyDescent="0.3">
      <c r="B40" s="16">
        <f t="shared" si="0"/>
        <v>37</v>
      </c>
      <c r="C40" s="16" t="s">
        <v>110</v>
      </c>
      <c r="D40" s="32" t="s">
        <v>62</v>
      </c>
      <c r="E40" s="24"/>
    </row>
    <row r="41" spans="2:6" x14ac:dyDescent="0.3">
      <c r="B41" s="16">
        <f t="shared" si="0"/>
        <v>38</v>
      </c>
      <c r="C41" s="16" t="s">
        <v>110</v>
      </c>
      <c r="D41" s="32" t="s">
        <v>62</v>
      </c>
      <c r="E41" s="24"/>
    </row>
    <row r="42" spans="2:6" x14ac:dyDescent="0.3">
      <c r="B42" s="16">
        <f t="shared" si="0"/>
        <v>39</v>
      </c>
      <c r="C42" s="16" t="s">
        <v>110</v>
      </c>
      <c r="D42" s="32" t="s">
        <v>62</v>
      </c>
      <c r="E42" s="24"/>
    </row>
    <row r="43" spans="2:6" ht="33" x14ac:dyDescent="0.3">
      <c r="B43" s="16">
        <f t="shared" si="0"/>
        <v>40</v>
      </c>
      <c r="C43" s="16" t="s">
        <v>91</v>
      </c>
      <c r="D43" s="31" t="s">
        <v>192</v>
      </c>
      <c r="E43" s="24" t="s">
        <v>139</v>
      </c>
    </row>
    <row r="44" spans="2:6" x14ac:dyDescent="0.3">
      <c r="B44" s="16">
        <f t="shared" si="0"/>
        <v>41</v>
      </c>
      <c r="C44" s="16" t="s">
        <v>140</v>
      </c>
      <c r="D44" s="16" t="s">
        <v>119</v>
      </c>
      <c r="E44" s="24"/>
      <c r="F44" t="s">
        <v>142</v>
      </c>
    </row>
    <row r="45" spans="2:6" x14ac:dyDescent="0.3">
      <c r="B45" s="16">
        <f t="shared" si="0"/>
        <v>42</v>
      </c>
      <c r="C45" s="16" t="s">
        <v>144</v>
      </c>
      <c r="D45" s="16" t="s">
        <v>129</v>
      </c>
      <c r="E45" s="24"/>
    </row>
    <row r="46" spans="2:6" x14ac:dyDescent="0.3">
      <c r="B46" s="16">
        <f t="shared" si="0"/>
        <v>43</v>
      </c>
      <c r="C46" s="16" t="s">
        <v>145</v>
      </c>
      <c r="D46" s="16" t="s">
        <v>129</v>
      </c>
      <c r="E46" s="24"/>
    </row>
    <row r="47" spans="2:6" x14ac:dyDescent="0.3">
      <c r="B47" s="16">
        <f t="shared" si="0"/>
        <v>44</v>
      </c>
      <c r="C47" s="16" t="s">
        <v>146</v>
      </c>
      <c r="D47" s="16" t="s">
        <v>143</v>
      </c>
      <c r="E47" s="24"/>
    </row>
    <row r="48" spans="2:6" x14ac:dyDescent="0.3">
      <c r="B48" s="16">
        <f t="shared" si="0"/>
        <v>45</v>
      </c>
      <c r="C48" s="16" t="s">
        <v>147</v>
      </c>
      <c r="D48" s="16" t="s">
        <v>143</v>
      </c>
      <c r="E48" s="24"/>
    </row>
    <row r="49" spans="2:5" ht="33" x14ac:dyDescent="0.3">
      <c r="B49" s="16">
        <f t="shared" si="0"/>
        <v>46</v>
      </c>
      <c r="C49" s="16" t="s">
        <v>27</v>
      </c>
      <c r="D49" s="31" t="s">
        <v>195</v>
      </c>
      <c r="E49" s="24"/>
    </row>
    <row r="50" spans="2:5" x14ac:dyDescent="0.3">
      <c r="B50" s="16">
        <f t="shared" si="0"/>
        <v>47</v>
      </c>
      <c r="C50" s="16" t="s">
        <v>28</v>
      </c>
      <c r="D50" s="16" t="s">
        <v>148</v>
      </c>
      <c r="E50" s="24"/>
    </row>
    <row r="51" spans="2:5" ht="49.5" x14ac:dyDescent="0.3">
      <c r="B51" s="16">
        <f t="shared" si="0"/>
        <v>48</v>
      </c>
      <c r="C51" s="16" t="s">
        <v>187</v>
      </c>
      <c r="D51" s="38" t="s">
        <v>188</v>
      </c>
      <c r="E51" s="24"/>
    </row>
    <row r="52" spans="2:5" ht="33" x14ac:dyDescent="0.3">
      <c r="B52" s="16">
        <f t="shared" si="0"/>
        <v>49</v>
      </c>
      <c r="C52" s="16" t="s">
        <v>193</v>
      </c>
      <c r="D52" s="38" t="s">
        <v>194</v>
      </c>
      <c r="E52" s="24"/>
    </row>
    <row r="53" spans="2:5" x14ac:dyDescent="0.3">
      <c r="B53" s="16">
        <f t="shared" si="0"/>
        <v>50</v>
      </c>
      <c r="C53" s="16" t="s">
        <v>110</v>
      </c>
      <c r="D53" s="32" t="s">
        <v>62</v>
      </c>
      <c r="E53" s="24"/>
    </row>
    <row r="54" spans="2:5" x14ac:dyDescent="0.3">
      <c r="B54" s="16">
        <f t="shared" si="0"/>
        <v>51</v>
      </c>
      <c r="C54" s="16" t="s">
        <v>110</v>
      </c>
      <c r="D54" s="32" t="s">
        <v>62</v>
      </c>
      <c r="E54" s="24"/>
    </row>
    <row r="55" spans="2:5" x14ac:dyDescent="0.3">
      <c r="B55" s="16">
        <f t="shared" si="0"/>
        <v>52</v>
      </c>
      <c r="C55" s="16" t="s">
        <v>110</v>
      </c>
      <c r="D55" s="32" t="s">
        <v>62</v>
      </c>
      <c r="E55" s="24"/>
    </row>
    <row r="56" spans="2:5" x14ac:dyDescent="0.3">
      <c r="B56" s="16">
        <f t="shared" si="0"/>
        <v>53</v>
      </c>
      <c r="C56" s="16" t="s">
        <v>110</v>
      </c>
      <c r="D56" s="32" t="s">
        <v>62</v>
      </c>
      <c r="E56" s="15"/>
    </row>
    <row r="57" spans="2:5" x14ac:dyDescent="0.3">
      <c r="B57" s="16">
        <f t="shared" si="0"/>
        <v>54</v>
      </c>
      <c r="C57" s="16" t="s">
        <v>110</v>
      </c>
      <c r="D57" s="32" t="s">
        <v>62</v>
      </c>
      <c r="E57" s="15"/>
    </row>
    <row r="58" spans="2:5" x14ac:dyDescent="0.3">
      <c r="B58" s="16">
        <f t="shared" si="0"/>
        <v>55</v>
      </c>
      <c r="C58" s="16" t="s">
        <v>110</v>
      </c>
      <c r="D58" s="32" t="s">
        <v>62</v>
      </c>
      <c r="E58" s="15"/>
    </row>
    <row r="59" spans="2:5" x14ac:dyDescent="0.3">
      <c r="B59" s="16">
        <f t="shared" si="0"/>
        <v>56</v>
      </c>
      <c r="C59" s="16" t="s">
        <v>110</v>
      </c>
      <c r="D59" s="32" t="s">
        <v>62</v>
      </c>
      <c r="E59" s="15"/>
    </row>
    <row r="60" spans="2:5" x14ac:dyDescent="0.3">
      <c r="B60" s="16">
        <f t="shared" si="0"/>
        <v>57</v>
      </c>
      <c r="C60" s="16" t="s">
        <v>110</v>
      </c>
      <c r="D60" s="32" t="s">
        <v>62</v>
      </c>
      <c r="E60" s="15"/>
    </row>
    <row r="61" spans="2:5" x14ac:dyDescent="0.3">
      <c r="B61" s="16">
        <f t="shared" si="0"/>
        <v>58</v>
      </c>
      <c r="C61" s="16" t="s">
        <v>110</v>
      </c>
      <c r="D61" s="32" t="s">
        <v>62</v>
      </c>
      <c r="E61" s="15"/>
    </row>
    <row r="62" spans="2:5" x14ac:dyDescent="0.3">
      <c r="B62" s="16">
        <f t="shared" si="0"/>
        <v>59</v>
      </c>
      <c r="C62" s="16" t="s">
        <v>110</v>
      </c>
      <c r="D62" s="32" t="s">
        <v>62</v>
      </c>
      <c r="E62" s="15"/>
    </row>
    <row r="63" spans="2:5" x14ac:dyDescent="0.3">
      <c r="B63" s="16">
        <f t="shared" si="0"/>
        <v>60</v>
      </c>
      <c r="C63" s="16" t="s">
        <v>150</v>
      </c>
      <c r="D63" s="16"/>
      <c r="E63" s="24" t="s">
        <v>149</v>
      </c>
    </row>
    <row r="64" spans="2:5" x14ac:dyDescent="0.3">
      <c r="B64" s="16">
        <f t="shared" si="0"/>
        <v>61</v>
      </c>
      <c r="C64" s="16" t="s">
        <v>151</v>
      </c>
      <c r="D64" s="16" t="s">
        <v>119</v>
      </c>
      <c r="E64" s="24"/>
    </row>
    <row r="65" spans="2:5" x14ac:dyDescent="0.3">
      <c r="B65" s="16">
        <f t="shared" si="0"/>
        <v>62</v>
      </c>
      <c r="C65" s="16" t="s">
        <v>152</v>
      </c>
      <c r="D65" s="16" t="s">
        <v>124</v>
      </c>
      <c r="E65" s="24"/>
    </row>
    <row r="66" spans="2:5" x14ac:dyDescent="0.3">
      <c r="B66" s="16">
        <f t="shared" si="0"/>
        <v>63</v>
      </c>
      <c r="C66" s="16" t="s">
        <v>153</v>
      </c>
      <c r="D66" s="16" t="s">
        <v>124</v>
      </c>
      <c r="E66" s="24"/>
    </row>
    <row r="67" spans="2:5" ht="49.5" x14ac:dyDescent="0.3">
      <c r="B67" s="16">
        <f t="shared" si="0"/>
        <v>64</v>
      </c>
      <c r="C67" s="16" t="s">
        <v>154</v>
      </c>
      <c r="D67" s="38" t="s">
        <v>188</v>
      </c>
      <c r="E67" s="24"/>
    </row>
    <row r="68" spans="2:5" x14ac:dyDescent="0.3">
      <c r="B68" s="16">
        <f t="shared" si="0"/>
        <v>65</v>
      </c>
      <c r="C68" s="16" t="s">
        <v>110</v>
      </c>
      <c r="D68" s="32" t="s">
        <v>62</v>
      </c>
      <c r="E68" s="24"/>
    </row>
    <row r="69" spans="2:5" x14ac:dyDescent="0.3">
      <c r="B69" s="16">
        <f t="shared" si="0"/>
        <v>66</v>
      </c>
      <c r="C69" s="16" t="s">
        <v>110</v>
      </c>
      <c r="D69" s="32" t="s">
        <v>62</v>
      </c>
      <c r="E69" s="24"/>
    </row>
    <row r="70" spans="2:5" x14ac:dyDescent="0.3">
      <c r="B70" s="16">
        <f t="shared" si="0"/>
        <v>67</v>
      </c>
      <c r="C70" s="16" t="s">
        <v>110</v>
      </c>
      <c r="D70" s="32" t="s">
        <v>62</v>
      </c>
      <c r="E70" s="24"/>
    </row>
    <row r="71" spans="2:5" x14ac:dyDescent="0.3">
      <c r="B71" s="16">
        <f t="shared" si="0"/>
        <v>68</v>
      </c>
      <c r="C71" s="16" t="s">
        <v>110</v>
      </c>
      <c r="D71" s="32" t="s">
        <v>62</v>
      </c>
      <c r="E71" s="24"/>
    </row>
    <row r="72" spans="2:5" x14ac:dyDescent="0.3">
      <c r="B72" s="16">
        <f t="shared" si="0"/>
        <v>69</v>
      </c>
      <c r="C72" s="16" t="s">
        <v>110</v>
      </c>
      <c r="D72" s="32" t="s">
        <v>62</v>
      </c>
      <c r="E72" s="24"/>
    </row>
    <row r="73" spans="2:5" x14ac:dyDescent="0.3">
      <c r="B73" s="16">
        <f t="shared" si="0"/>
        <v>70</v>
      </c>
      <c r="C73" s="16" t="s">
        <v>110</v>
      </c>
      <c r="D73" s="32" t="s">
        <v>62</v>
      </c>
      <c r="E73" s="24"/>
    </row>
    <row r="74" spans="2:5" x14ac:dyDescent="0.3">
      <c r="B74" s="16">
        <f t="shared" si="0"/>
        <v>71</v>
      </c>
      <c r="C74" s="16" t="s">
        <v>110</v>
      </c>
      <c r="D74" s="32" t="s">
        <v>62</v>
      </c>
      <c r="E74" s="24"/>
    </row>
    <row r="75" spans="2:5" x14ac:dyDescent="0.3">
      <c r="B75" s="16">
        <f t="shared" si="0"/>
        <v>72</v>
      </c>
      <c r="C75" s="16" t="s">
        <v>110</v>
      </c>
      <c r="D75" s="32" t="s">
        <v>62</v>
      </c>
      <c r="E75" s="24"/>
    </row>
    <row r="76" spans="2:5" x14ac:dyDescent="0.3">
      <c r="B76" s="16">
        <f t="shared" si="0"/>
        <v>73</v>
      </c>
      <c r="C76" s="16" t="s">
        <v>110</v>
      </c>
      <c r="D76" s="32" t="s">
        <v>62</v>
      </c>
      <c r="E76" s="24"/>
    </row>
    <row r="77" spans="2:5" x14ac:dyDescent="0.3">
      <c r="B77" s="16">
        <f t="shared" si="0"/>
        <v>74</v>
      </c>
      <c r="C77" s="16" t="s">
        <v>110</v>
      </c>
      <c r="D77" s="32" t="s">
        <v>62</v>
      </c>
      <c r="E77" s="24"/>
    </row>
    <row r="78" spans="2:5" ht="33" customHeight="1" x14ac:dyDescent="0.3">
      <c r="B78" s="16">
        <f t="shared" si="0"/>
        <v>75</v>
      </c>
      <c r="C78" s="16" t="s">
        <v>157</v>
      </c>
      <c r="D78" s="37" t="s">
        <v>162</v>
      </c>
      <c r="E78" s="22" t="s">
        <v>179</v>
      </c>
    </row>
    <row r="79" spans="2:5" x14ac:dyDescent="0.3">
      <c r="B79" s="16">
        <f t="shared" si="0"/>
        <v>76</v>
      </c>
      <c r="C79" s="16" t="s">
        <v>158</v>
      </c>
      <c r="D79" s="37"/>
      <c r="E79" s="22"/>
    </row>
    <row r="80" spans="2:5" x14ac:dyDescent="0.3">
      <c r="B80" s="16">
        <f t="shared" si="0"/>
        <v>77</v>
      </c>
      <c r="C80" s="16" t="s">
        <v>159</v>
      </c>
      <c r="D80" s="37"/>
      <c r="E80" s="22"/>
    </row>
    <row r="81" spans="2:5" x14ac:dyDescent="0.3">
      <c r="B81" s="16">
        <f t="shared" si="0"/>
        <v>78</v>
      </c>
      <c r="C81" s="16" t="s">
        <v>160</v>
      </c>
      <c r="D81" s="37"/>
      <c r="E81" s="22"/>
    </row>
    <row r="82" spans="2:5" x14ac:dyDescent="0.3">
      <c r="B82" s="16">
        <f t="shared" si="0"/>
        <v>79</v>
      </c>
      <c r="C82" s="16" t="s">
        <v>161</v>
      </c>
      <c r="D82" s="37"/>
      <c r="E82" s="22"/>
    </row>
    <row r="83" spans="2:5" ht="33" customHeight="1" x14ac:dyDescent="0.3">
      <c r="B83" s="16">
        <f t="shared" si="0"/>
        <v>80</v>
      </c>
      <c r="C83" s="16" t="s">
        <v>163</v>
      </c>
      <c r="D83" s="37" t="s">
        <v>164</v>
      </c>
      <c r="E83" s="22"/>
    </row>
    <row r="84" spans="2:5" x14ac:dyDescent="0.3">
      <c r="B84" s="16">
        <f t="shared" si="0"/>
        <v>81</v>
      </c>
      <c r="C84" s="16" t="s">
        <v>165</v>
      </c>
      <c r="D84" s="37"/>
      <c r="E84" s="22"/>
    </row>
    <row r="85" spans="2:5" x14ac:dyDescent="0.3">
      <c r="B85" s="16">
        <f t="shared" si="0"/>
        <v>82</v>
      </c>
      <c r="C85" s="16" t="s">
        <v>166</v>
      </c>
      <c r="D85" s="37"/>
      <c r="E85" s="22"/>
    </row>
    <row r="86" spans="2:5" x14ac:dyDescent="0.3">
      <c r="B86" s="16">
        <f t="shared" si="0"/>
        <v>83</v>
      </c>
      <c r="C86" s="16" t="s">
        <v>167</v>
      </c>
      <c r="D86" s="37"/>
      <c r="E86" s="22"/>
    </row>
    <row r="87" spans="2:5" x14ac:dyDescent="0.3">
      <c r="B87" s="16">
        <f t="shared" si="0"/>
        <v>84</v>
      </c>
      <c r="C87" s="16" t="s">
        <v>168</v>
      </c>
      <c r="D87" s="37"/>
      <c r="E87" s="22"/>
    </row>
    <row r="88" spans="2:5" x14ac:dyDescent="0.3">
      <c r="B88" s="16">
        <f t="shared" si="0"/>
        <v>85</v>
      </c>
      <c r="C88" s="16" t="s">
        <v>169</v>
      </c>
      <c r="D88" s="37"/>
      <c r="E88" s="22"/>
    </row>
    <row r="89" spans="2:5" x14ac:dyDescent="0.3">
      <c r="B89" s="16">
        <f t="shared" si="0"/>
        <v>86</v>
      </c>
      <c r="C89" s="16" t="s">
        <v>170</v>
      </c>
      <c r="D89" s="37"/>
      <c r="E89" s="22"/>
    </row>
    <row r="90" spans="2:5" x14ac:dyDescent="0.3">
      <c r="B90" s="16">
        <f t="shared" ref="B90:B119" si="1">B89+1</f>
        <v>87</v>
      </c>
      <c r="C90" s="16" t="s">
        <v>171</v>
      </c>
      <c r="D90" s="37"/>
      <c r="E90" s="22"/>
    </row>
    <row r="91" spans="2:5" x14ac:dyDescent="0.3">
      <c r="B91" s="16">
        <f t="shared" si="1"/>
        <v>88</v>
      </c>
      <c r="C91" s="16" t="s">
        <v>172</v>
      </c>
      <c r="D91" s="37"/>
      <c r="E91" s="22"/>
    </row>
    <row r="92" spans="2:5" x14ac:dyDescent="0.3">
      <c r="B92" s="16">
        <f t="shared" si="1"/>
        <v>89</v>
      </c>
      <c r="C92" s="16" t="s">
        <v>173</v>
      </c>
      <c r="D92" s="37"/>
      <c r="E92" s="22"/>
    </row>
    <row r="93" spans="2:5" x14ac:dyDescent="0.3">
      <c r="B93" s="16">
        <f t="shared" si="1"/>
        <v>90</v>
      </c>
      <c r="C93" s="16" t="s">
        <v>174</v>
      </c>
      <c r="D93" s="37"/>
      <c r="E93" s="22"/>
    </row>
    <row r="94" spans="2:5" x14ac:dyDescent="0.3">
      <c r="B94" s="16">
        <f t="shared" si="1"/>
        <v>91</v>
      </c>
      <c r="C94" s="16" t="s">
        <v>175</v>
      </c>
      <c r="D94" s="37"/>
      <c r="E94" s="22"/>
    </row>
    <row r="95" spans="2:5" x14ac:dyDescent="0.3">
      <c r="B95" s="16">
        <f t="shared" si="1"/>
        <v>92</v>
      </c>
      <c r="C95" s="16" t="s">
        <v>176</v>
      </c>
      <c r="D95" s="37"/>
      <c r="E95" s="22"/>
    </row>
    <row r="96" spans="2:5" x14ac:dyDescent="0.3">
      <c r="B96" s="16">
        <f t="shared" si="1"/>
        <v>93</v>
      </c>
      <c r="C96" s="16" t="s">
        <v>177</v>
      </c>
      <c r="D96" s="37"/>
      <c r="E96" s="22"/>
    </row>
    <row r="97" spans="2:5" x14ac:dyDescent="0.3">
      <c r="B97" s="16">
        <f t="shared" si="1"/>
        <v>94</v>
      </c>
      <c r="C97" s="16" t="s">
        <v>178</v>
      </c>
      <c r="D97" s="37"/>
      <c r="E97" s="22"/>
    </row>
    <row r="98" spans="2:5" x14ac:dyDescent="0.3">
      <c r="B98" s="16">
        <f t="shared" si="1"/>
        <v>95</v>
      </c>
      <c r="C98" s="16" t="s">
        <v>110</v>
      </c>
      <c r="D98" s="32" t="s">
        <v>62</v>
      </c>
      <c r="E98" s="22"/>
    </row>
    <row r="99" spans="2:5" x14ac:dyDescent="0.3">
      <c r="B99" s="16">
        <f t="shared" si="1"/>
        <v>96</v>
      </c>
      <c r="C99" s="16" t="s">
        <v>110</v>
      </c>
      <c r="D99" s="32" t="s">
        <v>62</v>
      </c>
      <c r="E99" s="22"/>
    </row>
    <row r="100" spans="2:5" x14ac:dyDescent="0.3">
      <c r="B100" s="16">
        <f t="shared" si="1"/>
        <v>97</v>
      </c>
      <c r="C100" s="16" t="s">
        <v>110</v>
      </c>
      <c r="D100" s="32" t="s">
        <v>62</v>
      </c>
      <c r="E100" s="22"/>
    </row>
    <row r="101" spans="2:5" x14ac:dyDescent="0.3">
      <c r="B101" s="16">
        <f t="shared" si="1"/>
        <v>98</v>
      </c>
      <c r="C101" s="16" t="s">
        <v>110</v>
      </c>
      <c r="D101" s="32" t="s">
        <v>62</v>
      </c>
      <c r="E101" s="22"/>
    </row>
    <row r="102" spans="2:5" x14ac:dyDescent="0.3">
      <c r="B102" s="16">
        <f t="shared" si="1"/>
        <v>99</v>
      </c>
      <c r="C102" s="16" t="s">
        <v>110</v>
      </c>
      <c r="D102" s="32" t="s">
        <v>62</v>
      </c>
      <c r="E102" s="22"/>
    </row>
    <row r="103" spans="2:5" ht="33" x14ac:dyDescent="0.3">
      <c r="B103" s="16">
        <f t="shared" si="1"/>
        <v>100</v>
      </c>
      <c r="C103" s="16" t="s">
        <v>180</v>
      </c>
      <c r="D103" s="31" t="s">
        <v>181</v>
      </c>
      <c r="E103" s="22" t="s">
        <v>186</v>
      </c>
    </row>
    <row r="104" spans="2:5" ht="33" x14ac:dyDescent="0.3">
      <c r="B104" s="16">
        <f t="shared" si="1"/>
        <v>101</v>
      </c>
      <c r="C104" s="16" t="s">
        <v>182</v>
      </c>
      <c r="D104" s="31" t="s">
        <v>181</v>
      </c>
      <c r="E104" s="22"/>
    </row>
    <row r="105" spans="2:5" ht="82.5" x14ac:dyDescent="0.3">
      <c r="B105" s="16">
        <f t="shared" si="1"/>
        <v>102</v>
      </c>
      <c r="C105" s="16" t="s">
        <v>183</v>
      </c>
      <c r="D105" s="31" t="s">
        <v>184</v>
      </c>
      <c r="E105" s="22"/>
    </row>
    <row r="106" spans="2:5" ht="33" x14ac:dyDescent="0.3">
      <c r="B106" s="16">
        <f t="shared" si="1"/>
        <v>103</v>
      </c>
      <c r="C106" s="16" t="s">
        <v>185</v>
      </c>
      <c r="D106" s="31" t="s">
        <v>128</v>
      </c>
      <c r="E106" s="22"/>
    </row>
    <row r="107" spans="2:5" x14ac:dyDescent="0.3">
      <c r="B107" s="16">
        <f t="shared" si="1"/>
        <v>104</v>
      </c>
      <c r="C107" s="16" t="s">
        <v>110</v>
      </c>
      <c r="D107" s="32" t="s">
        <v>62</v>
      </c>
      <c r="E107" s="22"/>
    </row>
    <row r="108" spans="2:5" x14ac:dyDescent="0.3">
      <c r="B108" s="16">
        <f t="shared" si="1"/>
        <v>105</v>
      </c>
      <c r="C108" s="16" t="s">
        <v>110</v>
      </c>
      <c r="D108" s="32" t="s">
        <v>62</v>
      </c>
      <c r="E108" s="22"/>
    </row>
    <row r="109" spans="2:5" x14ac:dyDescent="0.3">
      <c r="B109" s="16">
        <f t="shared" si="1"/>
        <v>106</v>
      </c>
      <c r="C109" s="16" t="s">
        <v>110</v>
      </c>
      <c r="D109" s="32" t="s">
        <v>62</v>
      </c>
      <c r="E109" s="22"/>
    </row>
    <row r="110" spans="2:5" x14ac:dyDescent="0.3">
      <c r="B110" s="16">
        <f t="shared" si="1"/>
        <v>107</v>
      </c>
      <c r="C110" s="16" t="s">
        <v>110</v>
      </c>
      <c r="D110" s="32" t="s">
        <v>62</v>
      </c>
      <c r="E110" s="22"/>
    </row>
    <row r="111" spans="2:5" x14ac:dyDescent="0.3">
      <c r="B111" s="16">
        <f t="shared" si="1"/>
        <v>108</v>
      </c>
      <c r="C111" s="16" t="s">
        <v>110</v>
      </c>
      <c r="D111" s="32" t="s">
        <v>62</v>
      </c>
      <c r="E111" s="22"/>
    </row>
    <row r="112" spans="2:5" ht="33" x14ac:dyDescent="0.3">
      <c r="B112" s="16">
        <f t="shared" si="1"/>
        <v>109</v>
      </c>
      <c r="C112" s="16" t="s">
        <v>190</v>
      </c>
      <c r="D112" s="31" t="s">
        <v>191</v>
      </c>
      <c r="E112" s="16" t="s">
        <v>189</v>
      </c>
    </row>
    <row r="113" spans="2:5" x14ac:dyDescent="0.3">
      <c r="B113" s="16">
        <f t="shared" si="1"/>
        <v>110</v>
      </c>
      <c r="C113" s="16"/>
      <c r="D113" s="16"/>
      <c r="E113" s="30"/>
    </row>
    <row r="114" spans="2:5" x14ac:dyDescent="0.3">
      <c r="B114" s="16">
        <f t="shared" si="1"/>
        <v>111</v>
      </c>
      <c r="C114" s="16"/>
      <c r="D114" s="16"/>
      <c r="E114" s="30"/>
    </row>
    <row r="115" spans="2:5" x14ac:dyDescent="0.3">
      <c r="B115" s="16">
        <f t="shared" si="1"/>
        <v>112</v>
      </c>
      <c r="C115" s="16"/>
      <c r="D115" s="16"/>
      <c r="E115" s="30"/>
    </row>
    <row r="116" spans="2:5" x14ac:dyDescent="0.3">
      <c r="B116" s="16">
        <f t="shared" si="1"/>
        <v>113</v>
      </c>
      <c r="C116" s="16"/>
      <c r="D116" s="16"/>
      <c r="E116" s="30"/>
    </row>
    <row r="117" spans="2:5" x14ac:dyDescent="0.3">
      <c r="B117" s="16">
        <f t="shared" si="1"/>
        <v>114</v>
      </c>
      <c r="C117" s="16"/>
      <c r="D117" s="16"/>
      <c r="E117" s="30"/>
    </row>
    <row r="118" spans="2:5" x14ac:dyDescent="0.3">
      <c r="B118" s="16">
        <f t="shared" si="1"/>
        <v>115</v>
      </c>
      <c r="C118" s="16"/>
      <c r="D118" s="16"/>
      <c r="E118" s="30"/>
    </row>
    <row r="119" spans="2:5" x14ac:dyDescent="0.3">
      <c r="B119" s="16">
        <f t="shared" si="1"/>
        <v>116</v>
      </c>
      <c r="C119" s="16"/>
      <c r="D119" s="16"/>
      <c r="E119" s="30"/>
    </row>
  </sheetData>
  <mergeCells count="11">
    <mergeCell ref="E63:E77"/>
    <mergeCell ref="D83:D97"/>
    <mergeCell ref="D78:D82"/>
    <mergeCell ref="E78:E102"/>
    <mergeCell ref="E103:E111"/>
    <mergeCell ref="C2:E2"/>
    <mergeCell ref="B3:C3"/>
    <mergeCell ref="E4:E16"/>
    <mergeCell ref="E17:E31"/>
    <mergeCell ref="E32:E42"/>
    <mergeCell ref="E43:E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냉동검토용 프로토콜</vt:lpstr>
      <vt:lpstr>냉동검토용 프로토콜 Revision</vt:lpstr>
      <vt:lpstr>CMD 0x0F (상태조회)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박찬흠[Water전장개발팀/팀원]</dc:creator>
  <cp:lastModifiedBy>박찬흠[Water전장개발팀/팀원]</cp:lastModifiedBy>
  <dcterms:created xsi:type="dcterms:W3CDTF">2025-10-16T01:44:37Z</dcterms:created>
  <dcterms:modified xsi:type="dcterms:W3CDTF">2025-11-12T05:17:05Z</dcterms:modified>
</cp:coreProperties>
</file>